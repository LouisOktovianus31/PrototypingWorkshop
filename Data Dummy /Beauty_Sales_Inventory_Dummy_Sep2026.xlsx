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/>
  <workbookPr defaultThemeVersion="164011"/>
  <bookViews>
    <workbookView xWindow="0" yWindow="0" windowWidth="20000" windowHeight="10000" activeTab="1"/>
  </bookViews>
  <sheets>
    <sheet name="Master Inventory" sheetId="1" r:id="rId1"/>
    <sheet name="Sales - TikTok" sheetId="2" r:id="rId2"/>
    <sheet name="Sales - Shopee" sheetId="3" r:id="rId3"/>
    <sheet name="Stock Check" sheetId="4" r:id="rId4"/>
    <sheet name="Price List (Internal vs Ecommerce)" sheetId="5" r:id="rId7"/>
  </sheets>
  <calcPr calcId="999999" fullCalcOnLoad="1"/>
</workbook>
</file>

<file path=xl/sharedStrings.xml><?xml version="1.0" encoding="utf-8"?>
<sst xmlns="http://schemas.openxmlformats.org/spreadsheetml/2006/main" count="307" uniqueCount="307">
  <si>
    <t xml:space="preserve">No</t>
  </si>
  <si>
    <t xml:space="preserve">SKU</t>
  </si>
  <si>
    <t xml:space="preserve">Nama Produk</t>
  </si>
  <si>
    <t xml:space="preserve">Brand</t>
  </si>
  <si>
    <t xml:space="preserve">Sub-Kategori</t>
  </si>
  <si>
    <t xml:space="preserve">COGS per Unit (Rp)</t>
  </si>
  <si>
    <t xml:space="preserve">Target Margin Internal (%)</t>
  </si>
  <si>
    <t xml:space="preserve">Harga Internal (Modal+Margin) (Rp)</t>
  </si>
  <si>
    <t xml:space="preserve">Harga Jual Normal / RRP (Rp)</t>
  </si>
  <si>
    <t xml:space="preserve">Stock Awal (unit)</t>
  </si>
  <si>
    <t xml:space="preserve">Reorder Point (Min Stock)</t>
  </si>
  <si>
    <t xml:space="preserve">Gudang / Lokasi</t>
  </si>
  <si>
    <t xml:space="preserve">SK-001</t>
  </si>
  <si>
    <t xml:space="preserve">Facial Wash Gentle Foam 100ml</t>
  </si>
  <si>
    <t xml:space="preserve">LUMORA</t>
  </si>
  <si>
    <t xml:space="preserve">Skincare</t>
  </si>
  <si>
    <t xml:space="preserve">Gudang Jakarta</t>
  </si>
  <si>
    <t xml:space="preserve">SK-002</t>
  </si>
  <si>
    <t xml:space="preserve">Toner Hydrating Rose 150ml</t>
  </si>
  <si>
    <t xml:space="preserve">SK-003</t>
  </si>
  <si>
    <t xml:space="preserve">Serum Vitamin C 20ml</t>
  </si>
  <si>
    <t xml:space="preserve">SK-004</t>
  </si>
  <si>
    <t xml:space="preserve">Serum Niacinamide 10% 20ml</t>
  </si>
  <si>
    <t xml:space="preserve">SK-005</t>
  </si>
  <si>
    <t xml:space="preserve">Moisturizer Gel Cream 40g</t>
  </si>
  <si>
    <t xml:space="preserve">Gudang Bandung</t>
  </si>
  <si>
    <t xml:space="preserve">SK-006</t>
  </si>
  <si>
    <t xml:space="preserve">Sunscreen SPF50 PA+++ 40ml</t>
  </si>
  <si>
    <t xml:space="preserve">SK-007</t>
  </si>
  <si>
    <t xml:space="preserve">Eye Cream Anti Aging 15ml</t>
  </si>
  <si>
    <t xml:space="preserve">SK-008</t>
  </si>
  <si>
    <t xml:space="preserve">Sheet Mask Brightening (Box 5pcs)</t>
  </si>
  <si>
    <t xml:space="preserve">MU-001</t>
  </si>
  <si>
    <t xml:space="preserve">Lip Tint Velvet Matte</t>
  </si>
  <si>
    <t xml:space="preserve">Makeup</t>
  </si>
  <si>
    <t xml:space="preserve">MU-002</t>
  </si>
  <si>
    <t xml:space="preserve">Lip Cream Matte Long Lasting</t>
  </si>
  <si>
    <t xml:space="preserve">MU-003</t>
  </si>
  <si>
    <t xml:space="preserve">Cushion Foundation SPF35</t>
  </si>
  <si>
    <t xml:space="preserve">MU-004</t>
  </si>
  <si>
    <t xml:space="preserve">Compact Powder Matte Finish</t>
  </si>
  <si>
    <t xml:space="preserve">MU-005</t>
  </si>
  <si>
    <t xml:space="preserve">Eyebrow Pencil Waterproof</t>
  </si>
  <si>
    <t xml:space="preserve">MU-006</t>
  </si>
  <si>
    <t xml:space="preserve">Mascara Volume &amp; Curl</t>
  </si>
  <si>
    <t xml:space="preserve">MU-007</t>
  </si>
  <si>
    <t xml:space="preserve">Makeup Setting Spray 100ml</t>
  </si>
  <si>
    <t xml:space="preserve">HC-001</t>
  </si>
  <si>
    <t xml:space="preserve">Hair Serum Anti Frizz 60ml</t>
  </si>
  <si>
    <t xml:space="preserve">Haircare</t>
  </si>
  <si>
    <t xml:space="preserve">HC-002</t>
  </si>
  <si>
    <t xml:space="preserve">Shampoo Anti Hairfall 300ml</t>
  </si>
  <si>
    <t xml:space="preserve">HC-003</t>
  </si>
  <si>
    <t xml:space="preserve">Conditioner Repair 300ml</t>
  </si>
  <si>
    <t xml:space="preserve">HC-004</t>
  </si>
  <si>
    <t xml:space="preserve">Hair Mist Perfume 100ml</t>
  </si>
  <si>
    <t xml:space="preserve">HC-005</t>
  </si>
  <si>
    <t xml:space="preserve">Hair Vitamin Ampoule (Box 6pcs)</t>
  </si>
  <si>
    <t xml:space="preserve">BC-001</t>
  </si>
  <si>
    <t xml:space="preserve">Body Lotion Brightening 200ml</t>
  </si>
  <si>
    <t xml:space="preserve">Bodycare</t>
  </si>
  <si>
    <t xml:space="preserve">BC-002</t>
  </si>
  <si>
    <t xml:space="preserve">Body Scrub Coffee 200g</t>
  </si>
  <si>
    <t xml:space="preserve">BC-003</t>
  </si>
  <si>
    <t xml:space="preserve">Body Mist Fresh Bloom 100ml</t>
  </si>
  <si>
    <t xml:space="preserve">FR-001</t>
  </si>
  <si>
    <t xml:space="preserve">Eau de Toilette 30ml</t>
  </si>
  <si>
    <t xml:space="preserve">Fragrance</t>
  </si>
  <si>
    <t xml:space="preserve">FR-002</t>
  </si>
  <si>
    <t xml:space="preserve">Eau de Parfum 50ml</t>
  </si>
  <si>
    <t xml:space="preserve">Tanggal Transaksi</t>
  </si>
  <si>
    <t xml:space="preserve">Platform</t>
  </si>
  <si>
    <t xml:space="preserve">Order ID</t>
  </si>
  <si>
    <t xml:space="preserve">Qty Terjual</t>
  </si>
  <si>
    <t xml:space="preserve">Harga Jual Normal /Unit (Rp)</t>
  </si>
  <si>
    <t xml:space="preserve">Diskon (%)</t>
  </si>
  <si>
    <t xml:space="preserve">Harga Jual Net /Unit (Rp)</t>
  </si>
  <si>
    <t xml:space="preserve">Total Revenue Net (Rp)</t>
  </si>
  <si>
    <t xml:space="preserve">Total COGS (Rp)</t>
  </si>
  <si>
    <t xml:space="preserve">Margin (Rp)</t>
  </si>
  <si>
    <t xml:space="preserve">Margin (%)</t>
  </si>
  <si>
    <t xml:space="preserve">Status Margin (vs COGS)</t>
  </si>
  <si>
    <t xml:space="preserve">Fee Platform (%)</t>
  </si>
  <si>
    <t xml:space="preserve">Total Fee Platform (Rp)</t>
  </si>
  <si>
    <t xml:space="preserve">Revenue Diterima Setelah Fee (Rp)</t>
  </si>
  <si>
    <t xml:space="preserve">Margin Setelah Fee (Rp)</t>
  </si>
  <si>
    <t xml:space="preserve">Margin Setelah Fee (%)</t>
  </si>
  <si>
    <t xml:space="preserve">Status Rugi Setelah Fee</t>
  </si>
  <si>
    <t xml:space="preserve">TikTok</t>
  </si>
  <si>
    <t xml:space="preserve">TTK-2609-0003</t>
  </si>
  <si>
    <t xml:space="preserve">TTK-2609-0027</t>
  </si>
  <si>
    <t xml:space="preserve">TTK-2609-0062</t>
  </si>
  <si>
    <t xml:space="preserve">TTK-2609-0072</t>
  </si>
  <si>
    <t xml:space="preserve">TTK-2609-0090</t>
  </si>
  <si>
    <t xml:space="preserve">TTK-2609-0035</t>
  </si>
  <si>
    <t xml:space="preserve">TTK-2609-0077</t>
  </si>
  <si>
    <t xml:space="preserve">TTK-2609-0029</t>
  </si>
  <si>
    <t xml:space="preserve">TTK-2609-0002</t>
  </si>
  <si>
    <t xml:space="preserve">TTK-2609-0025</t>
  </si>
  <si>
    <t xml:space="preserve">TTK-2609-0055</t>
  </si>
  <si>
    <t xml:space="preserve">TTK-2609-0019</t>
  </si>
  <si>
    <t xml:space="preserve">TTK-2609-0030</t>
  </si>
  <si>
    <t xml:space="preserve">TTK-2609-0044</t>
  </si>
  <si>
    <t xml:space="preserve">TTK-2609-0045</t>
  </si>
  <si>
    <t xml:space="preserve">TTK-2609-0050</t>
  </si>
  <si>
    <t xml:space="preserve">TTK-2609-0038</t>
  </si>
  <si>
    <t xml:space="preserve">TTK-2609-0060</t>
  </si>
  <si>
    <t xml:space="preserve">TTK-2609-0071</t>
  </si>
  <si>
    <t xml:space="preserve">TTK-2609-0013</t>
  </si>
  <si>
    <t xml:space="preserve">TTK-2609-0036</t>
  </si>
  <si>
    <t xml:space="preserve">TTK-2609-0068</t>
  </si>
  <si>
    <t xml:space="preserve">TTK-2609-0087</t>
  </si>
  <si>
    <t xml:space="preserve">TTK-2609-0018</t>
  </si>
  <si>
    <t xml:space="preserve">TTK-2609-0059</t>
  </si>
  <si>
    <t xml:space="preserve">TTK-2609-0075</t>
  </si>
  <si>
    <t xml:space="preserve">TTK-2609-0095</t>
  </si>
  <si>
    <t xml:space="preserve">TTK-2609-0097</t>
  </si>
  <si>
    <t xml:space="preserve">TTK-2609-0010</t>
  </si>
  <si>
    <t xml:space="preserve">TTK-2609-0080</t>
  </si>
  <si>
    <t xml:space="preserve">TTK-2609-0083</t>
  </si>
  <si>
    <t xml:space="preserve">TTK-2609-0023</t>
  </si>
  <si>
    <t xml:space="preserve">TTK-2609-0069</t>
  </si>
  <si>
    <t xml:space="preserve">TTK-2609-0009</t>
  </si>
  <si>
    <t xml:space="preserve">TTK-2609-0026</t>
  </si>
  <si>
    <t xml:space="preserve">TTK-2609-0008</t>
  </si>
  <si>
    <t xml:space="preserve">TTK-2609-0040</t>
  </si>
  <si>
    <t xml:space="preserve">TTK-2609-0098</t>
  </si>
  <si>
    <t xml:space="preserve">TTK-2609-0065</t>
  </si>
  <si>
    <t xml:space="preserve">TTK-2609-0076</t>
  </si>
  <si>
    <t xml:space="preserve">TTK-2609-0021</t>
  </si>
  <si>
    <t xml:space="preserve">TTK-2609-0033</t>
  </si>
  <si>
    <t xml:space="preserve">TTK-2609-0046</t>
  </si>
  <si>
    <t xml:space="preserve">TTK-2609-0054</t>
  </si>
  <si>
    <t xml:space="preserve">TTK-2609-0084</t>
  </si>
  <si>
    <t xml:space="preserve">TTK-2609-0092</t>
  </si>
  <si>
    <t xml:space="preserve">TTK-2609-0049</t>
  </si>
  <si>
    <t xml:space="preserve">TTK-2609-0061</t>
  </si>
  <si>
    <t xml:space="preserve">TTK-2609-0096</t>
  </si>
  <si>
    <t xml:space="preserve">TTK-2609-0014</t>
  </si>
  <si>
    <t xml:space="preserve">TTK-2609-0041</t>
  </si>
  <si>
    <t xml:space="preserve">TTK-2609-0063</t>
  </si>
  <si>
    <t xml:space="preserve">TTK-2609-0074</t>
  </si>
  <si>
    <t xml:space="preserve">TTK-2609-0081</t>
  </si>
  <si>
    <t xml:space="preserve">TTK-2609-0099</t>
  </si>
  <si>
    <t xml:space="preserve">TTK-2609-0016</t>
  </si>
  <si>
    <t xml:space="preserve">TTK-2609-0034</t>
  </si>
  <si>
    <t xml:space="preserve">TTK-2609-0048</t>
  </si>
  <si>
    <t xml:space="preserve">TTK-2609-0007</t>
  </si>
  <si>
    <t xml:space="preserve">TTK-2609-0086</t>
  </si>
  <si>
    <t xml:space="preserve">TTK-2609-0001</t>
  </si>
  <si>
    <t xml:space="preserve">TTK-2609-0017</t>
  </si>
  <si>
    <t xml:space="preserve">TTK-2609-0020</t>
  </si>
  <si>
    <t xml:space="preserve">TTK-2609-0043</t>
  </si>
  <si>
    <t xml:space="preserve">TTK-2609-0047</t>
  </si>
  <si>
    <t xml:space="preserve">TTK-2609-0052</t>
  </si>
  <si>
    <t xml:space="preserve">TTK-2609-0058</t>
  </si>
  <si>
    <t xml:space="preserve">TTK-2609-0079</t>
  </si>
  <si>
    <t xml:space="preserve">TTK-2609-0004</t>
  </si>
  <si>
    <t xml:space="preserve">TTK-2609-0032</t>
  </si>
  <si>
    <t xml:space="preserve">TTK-2609-0053</t>
  </si>
  <si>
    <t xml:space="preserve">TTK-2609-0057</t>
  </si>
  <si>
    <t xml:space="preserve">TTK-2609-0064</t>
  </si>
  <si>
    <t xml:space="preserve">TTK-2609-0089</t>
  </si>
  <si>
    <t xml:space="preserve">TTK-2609-0091</t>
  </si>
  <si>
    <t xml:space="preserve">TTK-2609-0022</t>
  </si>
  <si>
    <t xml:space="preserve">TTK-2609-0078</t>
  </si>
  <si>
    <t xml:space="preserve">TTK-2609-0006</t>
  </si>
  <si>
    <t xml:space="preserve">TTK-2609-0067</t>
  </si>
  <si>
    <t xml:space="preserve">TTK-2609-0073</t>
  </si>
  <si>
    <t xml:space="preserve">TTK-2609-0093</t>
  </si>
  <si>
    <t xml:space="preserve">TTK-2609-0100</t>
  </si>
  <si>
    <t xml:space="preserve">TTK-2609-0005</t>
  </si>
  <si>
    <t xml:space="preserve">TTK-2609-0070</t>
  </si>
  <si>
    <t xml:space="preserve">TTK-2609-0085</t>
  </si>
  <si>
    <t xml:space="preserve">TTK-2609-0011</t>
  </si>
  <si>
    <t xml:space="preserve">TTK-2609-0015</t>
  </si>
  <si>
    <t xml:space="preserve">TTK-2609-0028</t>
  </si>
  <si>
    <t xml:space="preserve">TTK-2609-0031</t>
  </si>
  <si>
    <t xml:space="preserve">TTK-2609-0039</t>
  </si>
  <si>
    <t xml:space="preserve">TTK-2609-0066</t>
  </si>
  <si>
    <t xml:space="preserve">TTK-2609-0088</t>
  </si>
  <si>
    <t xml:space="preserve">TTK-2609-0024</t>
  </si>
  <si>
    <t xml:space="preserve">TTK-2609-0037</t>
  </si>
  <si>
    <t xml:space="preserve">TTK-2609-0051</t>
  </si>
  <si>
    <t xml:space="preserve">TTK-2609-0056</t>
  </si>
  <si>
    <t xml:space="preserve">TTK-2609-0082</t>
  </si>
  <si>
    <t xml:space="preserve">TTK-2609-0012</t>
  </si>
  <si>
    <t xml:space="preserve">TTK-2609-0042</t>
  </si>
  <si>
    <t xml:space="preserve">TTK-2609-0094</t>
  </si>
  <si>
    <t xml:space="preserve"/>
  </si>
  <si>
    <t xml:space="preserve">TOTAL</t>
  </si>
  <si>
    <t xml:space="preserve">Shopee</t>
  </si>
  <si>
    <t xml:space="preserve">SHP-2609-0068</t>
  </si>
  <si>
    <t xml:space="preserve">SHP-2609-0010</t>
  </si>
  <si>
    <t xml:space="preserve">SHP-2609-0038</t>
  </si>
  <si>
    <t xml:space="preserve">SHP-2609-0006</t>
  </si>
  <si>
    <t xml:space="preserve">SHP-2609-0022</t>
  </si>
  <si>
    <t xml:space="preserve">SHP-2609-0055</t>
  </si>
  <si>
    <t xml:space="preserve">SHP-2609-0076</t>
  </si>
  <si>
    <t xml:space="preserve">SHP-2609-0098</t>
  </si>
  <si>
    <t xml:space="preserve">SHP-2609-0042</t>
  </si>
  <si>
    <t xml:space="preserve">SHP-2609-0049</t>
  </si>
  <si>
    <t xml:space="preserve">SHP-2609-0058</t>
  </si>
  <si>
    <t xml:space="preserve">SHP-2609-0064</t>
  </si>
  <si>
    <t xml:space="preserve">SHP-2609-0080</t>
  </si>
  <si>
    <t xml:space="preserve">SHP-2609-0093</t>
  </si>
  <si>
    <t xml:space="preserve">SHP-2609-0100</t>
  </si>
  <si>
    <t xml:space="preserve">SHP-2609-0011</t>
  </si>
  <si>
    <t xml:space="preserve">SHP-2609-0061</t>
  </si>
  <si>
    <t xml:space="preserve">SHP-2609-0048</t>
  </si>
  <si>
    <t xml:space="preserve">SHP-2609-0056</t>
  </si>
  <si>
    <t xml:space="preserve">SHP-2609-0083</t>
  </si>
  <si>
    <t xml:space="preserve">SHP-2609-0095</t>
  </si>
  <si>
    <t xml:space="preserve">SHP-2609-0003</t>
  </si>
  <si>
    <t xml:space="preserve">SHP-2609-0030</t>
  </si>
  <si>
    <t xml:space="preserve">SHP-2609-0039</t>
  </si>
  <si>
    <t xml:space="preserve">SHP-2609-0040</t>
  </si>
  <si>
    <t xml:space="preserve">SHP-2609-0043</t>
  </si>
  <si>
    <t xml:space="preserve">SHP-2609-0047</t>
  </si>
  <si>
    <t xml:space="preserve">SHP-2609-0071</t>
  </si>
  <si>
    <t xml:space="preserve">SHP-2609-0008</t>
  </si>
  <si>
    <t xml:space="preserve">SHP-2609-0034</t>
  </si>
  <si>
    <t xml:space="preserve">SHP-2609-0053</t>
  </si>
  <si>
    <t xml:space="preserve">SHP-2609-0065</t>
  </si>
  <si>
    <t xml:space="preserve">SHP-2609-0067</t>
  </si>
  <si>
    <t xml:space="preserve">SHP-2609-0092</t>
  </si>
  <si>
    <t xml:space="preserve">SHP-2609-0033</t>
  </si>
  <si>
    <t xml:space="preserve">SHP-2609-0081</t>
  </si>
  <si>
    <t xml:space="preserve">SHP-2609-0051</t>
  </si>
  <si>
    <t xml:space="preserve">SHP-2609-0019</t>
  </si>
  <si>
    <t xml:space="preserve">SHP-2609-0024</t>
  </si>
  <si>
    <t xml:space="preserve">SHP-2609-0094</t>
  </si>
  <si>
    <t xml:space="preserve">SHP-2609-0007</t>
  </si>
  <si>
    <t xml:space="preserve">SHP-2609-0023</t>
  </si>
  <si>
    <t xml:space="preserve">SHP-2609-0066</t>
  </si>
  <si>
    <t xml:space="preserve">SHP-2609-0088</t>
  </si>
  <si>
    <t xml:space="preserve">SHP-2609-0021</t>
  </si>
  <si>
    <t xml:space="preserve">SHP-2609-0063</t>
  </si>
  <si>
    <t xml:space="preserve">SHP-2609-0082</t>
  </si>
  <si>
    <t xml:space="preserve">SHP-2609-0012</t>
  </si>
  <si>
    <t xml:space="preserve">SHP-2609-0054</t>
  </si>
  <si>
    <t xml:space="preserve">SHP-2609-0075</t>
  </si>
  <si>
    <t xml:space="preserve">SHP-2609-0086</t>
  </si>
  <si>
    <t xml:space="preserve">SHP-2609-0087</t>
  </si>
  <si>
    <t xml:space="preserve">SHP-2609-0001</t>
  </si>
  <si>
    <t xml:space="preserve">SHP-2609-0026</t>
  </si>
  <si>
    <t xml:space="preserve">SHP-2609-0036</t>
  </si>
  <si>
    <t xml:space="preserve">SHP-2609-0037</t>
  </si>
  <si>
    <t xml:space="preserve">SHP-2609-0069</t>
  </si>
  <si>
    <t xml:space="preserve">SHP-2609-0084</t>
  </si>
  <si>
    <t xml:space="preserve">SHP-2609-0096</t>
  </si>
  <si>
    <t xml:space="preserve">SHP-2609-0009</t>
  </si>
  <si>
    <t xml:space="preserve">SHP-2609-0025</t>
  </si>
  <si>
    <t xml:space="preserve">SHP-2609-0050</t>
  </si>
  <si>
    <t xml:space="preserve">SHP-2609-0070</t>
  </si>
  <si>
    <t xml:space="preserve">SHP-2609-0014</t>
  </si>
  <si>
    <t xml:space="preserve">SHP-2609-0017</t>
  </si>
  <si>
    <t xml:space="preserve">SHP-2609-0032</t>
  </si>
  <si>
    <t xml:space="preserve">SHP-2609-0041</t>
  </si>
  <si>
    <t xml:space="preserve">SHP-2609-0074</t>
  </si>
  <si>
    <t xml:space="preserve">SHP-2609-0005</t>
  </si>
  <si>
    <t xml:space="preserve">SHP-2609-0044</t>
  </si>
  <si>
    <t xml:space="preserve">SHP-2609-0018</t>
  </si>
  <si>
    <t xml:space="preserve">SHP-2609-0020</t>
  </si>
  <si>
    <t xml:space="preserve">SHP-2609-0046</t>
  </si>
  <si>
    <t xml:space="preserve">SHP-2609-0062</t>
  </si>
  <si>
    <t xml:space="preserve">SHP-2609-0079</t>
  </si>
  <si>
    <t xml:space="preserve">SHP-2609-0004</t>
  </si>
  <si>
    <t xml:space="preserve">SHP-2609-0028</t>
  </si>
  <si>
    <t xml:space="preserve">SHP-2609-0085</t>
  </si>
  <si>
    <t xml:space="preserve">SHP-2609-0015</t>
  </si>
  <si>
    <t xml:space="preserve">SHP-2609-0016</t>
  </si>
  <si>
    <t xml:space="preserve">SHP-2609-0078</t>
  </si>
  <si>
    <t xml:space="preserve">SHP-2609-0013</t>
  </si>
  <si>
    <t xml:space="preserve">SHP-2609-0029</t>
  </si>
  <si>
    <t xml:space="preserve">SHP-2609-0072</t>
  </si>
  <si>
    <t xml:space="preserve">SHP-2609-0090</t>
  </si>
  <si>
    <t xml:space="preserve">SHP-2609-0031</t>
  </si>
  <si>
    <t xml:space="preserve">SHP-2609-0060</t>
  </si>
  <si>
    <t xml:space="preserve">SHP-2609-0091</t>
  </si>
  <si>
    <t xml:space="preserve">SHP-2609-0027</t>
  </si>
  <si>
    <t xml:space="preserve">SHP-2609-0073</t>
  </si>
  <si>
    <t xml:space="preserve">SHP-2609-0097</t>
  </si>
  <si>
    <t xml:space="preserve">SHP-2609-0002</t>
  </si>
  <si>
    <t xml:space="preserve">SHP-2609-0057</t>
  </si>
  <si>
    <t xml:space="preserve">SHP-2609-0089</t>
  </si>
  <si>
    <t xml:space="preserve">SHP-2609-0035</t>
  </si>
  <si>
    <t xml:space="preserve">SHP-2609-0045</t>
  </si>
  <si>
    <t xml:space="preserve">SHP-2609-0052</t>
  </si>
  <si>
    <t xml:space="preserve">SHP-2609-0059</t>
  </si>
  <si>
    <t xml:space="preserve">SHP-2609-0077</t>
  </si>
  <si>
    <t xml:space="preserve">SHP-2609-0099</t>
  </si>
  <si>
    <t xml:space="preserve">Terjual TikTok (unit)</t>
  </si>
  <si>
    <t xml:space="preserve">Terjual Shopee (unit)</t>
  </si>
  <si>
    <t xml:space="preserve">Total Terjual (unit)</t>
  </si>
  <si>
    <t xml:space="preserve">Sisa Stock (unit)</t>
  </si>
  <si>
    <t xml:space="preserve">Status Stock</t>
  </si>
  <si>
    <t xml:space="preserve">Rata2 Harga Jual Net TikTok (Rp)</t>
  </si>
  <si>
    <t xml:space="preserve">Rata2 Harga Jual Net Shopee (Rp)</t>
  </si>
  <si>
    <t xml:space="preserve">Gap TikTok vs Internal (%)</t>
  </si>
  <si>
    <t xml:space="preserve">Gap Shopee vs Internal (%)</t>
  </si>
  <si>
    <t xml:space="preserve">Status Harga TikTok</t>
  </si>
  <si>
    <t xml:space="preserve">Status Harga Shopee</t>
  </si>
  <si>
    <t xml:space="preserve">Keterangan</t>
  </si>
  <si>
    <t xml:space="preserve">Diskon melebihi target margin internal, cek kontribusi promo</t>
  </si>
  <si>
    <t xml:space="preserve">Perlu review harga - ada channel yang jual di bawah COGS</t>
  </si>
  <si>
    <t xml:space="preserve">Harga sesuai target margin internal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</si>
</sst>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%"/>
    <numFmt numFmtId="166" formatCode="dd\-mmm\-yyyy"/>
  </numFmts>
  <fonts count="9">
    <font>
      <sz val="10"/>
      <name val="Calibri"/>
    </font>
    <font>
      <b/>
      <sz val="10"/>
      <color rgb="FFFFFFFF"/>
      <name val="Calibri"/>
    </font>
    <font>
      <sz val="10"/>
      <name val="Calibri"/>
    </font>
    <font>
      <b/>
      <sz val="10"/>
      <name val="Calibri"/>
    </font>
    <font>
      <sz val="10"/>
      <name val="Calibri"/>
    </font>
    <font>
      <b/>
      <sz val="16"/>
      <color rgb="FF2F5233"/>
      <name val="Calibri"/>
    </font>
    <font>
      <i/>
      <sz val="9"/>
      <color rgb="FF808080"/>
      <name val="Calibri"/>
    </font>
    <font>
      <b/>
      <sz val="10"/>
      <color rgb="FFFFFFFF"/>
      <name val="Calibri"/>
    </font>
    <font>
      <b/>
      <sz val="1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2F5233"/>
        <bgColor rgb="FF2F5233"/>
      </patternFill>
    </fill>
    <fill>
      <patternFill patternType="solid">
        <fgColor rgb="FFE8F0E3"/>
        <bgColor rgb="FFE8F0E3"/>
      </patternFill>
    </fill>
    <fill>
      <patternFill patternType="solid">
        <fgColor rgb="FFFFF2CC"/>
        <bgColor rgb="FFFFF2CC"/>
      </patternFill>
    </fill>
    <fill>
      <patternFill patternType="solid">
        <fgColor rgb="FF1F6F5C"/>
        <bgColor rgb="FF1F6F5C"/>
      </patternFill>
    </fill>
    <fill>
      <patternFill patternType="solid">
        <fgColor rgb="FFD9D9D9"/>
        <bgColor rgb="FFD9D9D9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0" fillId="0" borderId="1" xfId="0" applyNumFmt="1" applyBorder="1"/>
    <xf numFmtId="0" fontId="0" fillId="0" borderId="1" xfId="0" applyBorder="1"/>
    <xf numFmtId="165" fontId="0" fillId="0" borderId="1" xfId="0" applyNumFmt="1" applyBorder="1"/>
    <xf numFmtId="166" fontId="0" fillId="0" borderId="1" xfId="0" applyNumFmt="1" applyBorder="1"/>
    <xf numFmtId="164" fontId="3" fillId="6" borderId="2" xfId="0" applyNumFmt="1" applyFont="1" applyFill="1" applyBorder="1"/>
    <xf numFmtId="0" fontId="3" fillId="6" borderId="2" xfId="0" applyFont="1" applyFill="1" applyBorder="1"/>
    <xf numFmtId="0" fontId="0" fillId="0" borderId="1" xfId="0" applyBorder="1" applyAlignment="1">
      <alignment horizontal="center"/>
    </xf>
    <xf numFmtId="0" fontId="5" fillId="0" borderId="0" xfId="0" applyFont="1"/>
    <xf numFmtId="0" fontId="6" fillId="0" borderId="0" xfId="0" applyFont="1"/>
    <xf numFmtId="0" fontId="7" fillId="5" borderId="1" xfId="0" applyFont="1" applyFill="1" applyBorder="1" applyAlignment="1">
      <alignment horizontal="center" vertical="center" wrapText="1"/>
    </xf>
    <xf numFmtId="165" fontId="3" fillId="6" borderId="2" xfId="0" applyNumFmt="1" applyFont="1" applyFill="1" applyBorder="1"/>
    <xf numFmtId="0" fontId="2" fillId="4" borderId="1" xfId="0" applyFill="1" applyBorder="1"/>
    <xf numFmtId="164" fontId="2" fillId="4" borderId="1" xfId="0" applyNumFmt="1" applyFill="1" applyBorder="1"/>
    <xf numFmtId="0" fontId="8" fillId="3" borderId="1" xfId="0" applyFont="1" applyFill="1" applyBorder="1"/>
  </cellXfs>
  <cellStyles count="1">
    <cellStyle name="Normal" xfId="0" builtinId="0"/>
  </cellStyles>
  <dxfs count="4">
    <dxf>
      <font>
        <color rgb="FF9C0006"/>
        <b/>
      </font>
      <fill>
        <patternFill>
          <bgColor rgb="FFFFC7CE"/>
        </patternFill>
      </fill>
    </dxf>
    <dxf>
      <font>
        <color rgb="FF9C0006"/>
        <b/>
      </font>
      <fill>
        <patternFill>
          <bgColor rgb="FFFFC7CE"/>
        </patternFill>
      </fill>
    </dxf>
    <dxf>
      <font>
        <color rgb="FF9C6500"/>
        <b/>
      </font>
      <fill>
        <patternFill>
          <bgColor rgb="FFFFEB9C"/>
        </patternFill>
      </fill>
    </dxf>
    <dxf>
      <font>
        <color rgb="FF974706"/>
        <b/>
      </font>
      <fill>
        <patternFill>
          <bgColor rgb="FFFFD966"/>
        </patternFill>
      </fill>
    </dxf>
  </d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  <Relationship Id="rId7" Type="http://schemas.openxmlformats.org/officeDocument/2006/relationships/worksheet" Target="worksheets/sheet5.xml"/>
</Relationships>
</file>

<file path=xl/worksheets/sheet1.xml><?xml version="1.0" encoding="utf-8"?>
<worksheet xmlns="http://schemas.openxmlformats.org/spreadsheetml/2006/main">
  <dimension ref="A1:L26"/>
  <sheetViews>
    <sheetView tabSelected="0" workbookViewId="0">
      <pane ySplit="1" topLeftCell="A2" activePane="bottomLeft" state="frozen"/>
    </sheetView>
  </sheetViews>
  <sheetFormatPr defaultRowHeight="15"/>
  <cols>
    <col min="1" max="1" width="5" customWidth="1"/>
    <col min="2" max="2" width="10" customWidth="1"/>
    <col min="3" max="3" width="32" customWidth="1"/>
    <col min="4" max="4" width="10" customWidth="1"/>
    <col min="5" max="5" width="13" customWidth="1"/>
    <col min="6" max="6" width="16" customWidth="1"/>
    <col min="7" max="7" width="16" customWidth="1"/>
    <col min="8" max="8" width="18" customWidth="1"/>
    <col min="9" max="9" width="20" customWidth="1"/>
    <col min="10" max="10" width="14" customWidth="1"/>
    <col min="11" max="11" width="18" customWidth="1"/>
    <col min="12" max="12" width="16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8">
        <v>1</v>
      </c>
      <c r="B2" s="3" t="s">
        <v>12</v>
      </c>
      <c r="C2" s="3" t="s">
        <v>13</v>
      </c>
      <c r="D2" s="3" t="s">
        <v>14</v>
      </c>
      <c r="E2" s="3" t="s">
        <v>15</v>
      </c>
      <c r="F2" s="2">
        <v>16000</v>
      </c>
      <c r="G2" s="4">
        <v>0.62</v>
      </c>
      <c r="H2" s="2">
        <f>ROUND(F2/(1-G2),-3)</f>
        <v>42000</v>
      </c>
      <c r="I2" s="2">
        <v>45000</v>
      </c>
      <c r="J2" s="2">
        <v>250</v>
      </c>
      <c r="K2" s="2">
        <v>40</v>
      </c>
      <c r="L2" s="3" t="s">
        <v>16</v>
      </c>
    </row>
    <row r="3">
      <c r="A3" s="8">
        <v>2</v>
      </c>
      <c r="B3" s="3" t="s">
        <v>17</v>
      </c>
      <c r="C3" s="3" t="s">
        <v>18</v>
      </c>
      <c r="D3" s="3" t="s">
        <v>14</v>
      </c>
      <c r="E3" s="3" t="s">
        <v>15</v>
      </c>
      <c r="F3" s="2">
        <v>22000</v>
      </c>
      <c r="G3" s="4">
        <v>0.62</v>
      </c>
      <c r="H3" s="2">
        <f>ROUND(F3/(1-G3),-3)</f>
        <v>58000</v>
      </c>
      <c r="I3" s="2">
        <v>59000</v>
      </c>
      <c r="J3" s="2">
        <v>180</v>
      </c>
      <c r="K3" s="2">
        <v>35</v>
      </c>
      <c r="L3" s="3" t="s">
        <v>16</v>
      </c>
    </row>
    <row r="4">
      <c r="A4" s="8">
        <v>3</v>
      </c>
      <c r="B4" s="3" t="s">
        <v>19</v>
      </c>
      <c r="C4" s="3" t="s">
        <v>20</v>
      </c>
      <c r="D4" s="3" t="s">
        <v>14</v>
      </c>
      <c r="E4" s="3" t="s">
        <v>15</v>
      </c>
      <c r="F4" s="2">
        <v>35000</v>
      </c>
      <c r="G4" s="4">
        <v>0.62</v>
      </c>
      <c r="H4" s="2">
        <f>ROUND(F4/(1-G4),-3)</f>
        <v>92000</v>
      </c>
      <c r="I4" s="2">
        <v>99000</v>
      </c>
      <c r="J4" s="2">
        <v>150</v>
      </c>
      <c r="K4" s="2">
        <v>30</v>
      </c>
      <c r="L4" s="3" t="s">
        <v>16</v>
      </c>
    </row>
    <row r="5">
      <c r="A5" s="8">
        <v>4</v>
      </c>
      <c r="B5" s="3" t="s">
        <v>21</v>
      </c>
      <c r="C5" s="3" t="s">
        <v>22</v>
      </c>
      <c r="D5" s="3" t="s">
        <v>14</v>
      </c>
      <c r="E5" s="3" t="s">
        <v>15</v>
      </c>
      <c r="F5" s="2">
        <v>32000</v>
      </c>
      <c r="G5" s="4">
        <v>0.62</v>
      </c>
      <c r="H5" s="2">
        <f>ROUND(F5/(1-G5),-3)</f>
        <v>84000</v>
      </c>
      <c r="I5" s="2">
        <v>89000</v>
      </c>
      <c r="J5" s="2">
        <v>200</v>
      </c>
      <c r="K5" s="2">
        <v>40</v>
      </c>
      <c r="L5" s="3" t="s">
        <v>16</v>
      </c>
    </row>
    <row r="6">
      <c r="A6" s="8">
        <v>5</v>
      </c>
      <c r="B6" s="3" t="s">
        <v>23</v>
      </c>
      <c r="C6" s="3" t="s">
        <v>24</v>
      </c>
      <c r="D6" s="3" t="s">
        <v>14</v>
      </c>
      <c r="E6" s="3" t="s">
        <v>15</v>
      </c>
      <c r="F6" s="2">
        <v>28000</v>
      </c>
      <c r="G6" s="4">
        <v>0.62</v>
      </c>
      <c r="H6" s="2">
        <f>ROUND(F6/(1-G6),-3)</f>
        <v>74000</v>
      </c>
      <c r="I6" s="2">
        <v>79000</v>
      </c>
      <c r="J6" s="2">
        <v>160</v>
      </c>
      <c r="K6" s="2">
        <v>30</v>
      </c>
      <c r="L6" s="3" t="s">
        <v>25</v>
      </c>
    </row>
    <row r="7">
      <c r="A7" s="8">
        <v>6</v>
      </c>
      <c r="B7" s="3" t="s">
        <v>26</v>
      </c>
      <c r="C7" s="3" t="s">
        <v>27</v>
      </c>
      <c r="D7" s="3" t="s">
        <v>14</v>
      </c>
      <c r="E7" s="3" t="s">
        <v>15</v>
      </c>
      <c r="F7" s="2">
        <v>30000</v>
      </c>
      <c r="G7" s="4">
        <v>0.62</v>
      </c>
      <c r="H7" s="2">
        <f>ROUND(F7/(1-G7),-3)</f>
        <v>79000</v>
      </c>
      <c r="I7" s="2">
        <v>85000</v>
      </c>
      <c r="J7" s="2">
        <v>300</v>
      </c>
      <c r="K7" s="2">
        <v>50</v>
      </c>
      <c r="L7" s="3" t="s">
        <v>16</v>
      </c>
    </row>
    <row r="8">
      <c r="A8" s="8">
        <v>7</v>
      </c>
      <c r="B8" s="3" t="s">
        <v>28</v>
      </c>
      <c r="C8" s="3" t="s">
        <v>29</v>
      </c>
      <c r="D8" s="3" t="s">
        <v>14</v>
      </c>
      <c r="E8" s="3" t="s">
        <v>15</v>
      </c>
      <c r="F8" s="2">
        <v>38000</v>
      </c>
      <c r="G8" s="4">
        <v>0.62</v>
      </c>
      <c r="H8" s="2">
        <f>ROUND(F8/(1-G8),-3)</f>
        <v>100000</v>
      </c>
      <c r="I8" s="2">
        <v>105000</v>
      </c>
      <c r="J8" s="2">
        <v>30</v>
      </c>
      <c r="K8" s="2">
        <v>20</v>
      </c>
      <c r="L8" s="3" t="s">
        <v>25</v>
      </c>
    </row>
    <row r="9">
      <c r="A9" s="8">
        <v>8</v>
      </c>
      <c r="B9" s="3" t="s">
        <v>30</v>
      </c>
      <c r="C9" s="3" t="s">
        <v>31</v>
      </c>
      <c r="D9" s="3" t="s">
        <v>14</v>
      </c>
      <c r="E9" s="3" t="s">
        <v>15</v>
      </c>
      <c r="F9" s="2">
        <v>20000</v>
      </c>
      <c r="G9" s="4">
        <v>0.62</v>
      </c>
      <c r="H9" s="2">
        <f>ROUND(F9/(1-G9),-3)</f>
        <v>53000</v>
      </c>
      <c r="I9" s="2">
        <v>55000</v>
      </c>
      <c r="J9" s="2">
        <v>220</v>
      </c>
      <c r="K9" s="2">
        <v>40</v>
      </c>
      <c r="L9" s="3" t="s">
        <v>16</v>
      </c>
    </row>
    <row r="10">
      <c r="A10" s="8">
        <v>9</v>
      </c>
      <c r="B10" s="3" t="s">
        <v>32</v>
      </c>
      <c r="C10" s="3" t="s">
        <v>33</v>
      </c>
      <c r="D10" s="3" t="s">
        <v>14</v>
      </c>
      <c r="E10" s="3" t="s">
        <v>34</v>
      </c>
      <c r="F10" s="2">
        <v>14000</v>
      </c>
      <c r="G10" s="4">
        <v>0.6</v>
      </c>
      <c r="H10" s="2">
        <f>ROUND(F10/(1-G10),-3)</f>
        <v>35000</v>
      </c>
      <c r="I10" s="2">
        <v>39000</v>
      </c>
      <c r="J10" s="2">
        <v>280</v>
      </c>
      <c r="K10" s="2">
        <v>50</v>
      </c>
      <c r="L10" s="3" t="s">
        <v>16</v>
      </c>
    </row>
    <row r="11">
      <c r="A11" s="8">
        <v>10</v>
      </c>
      <c r="B11" s="3" t="s">
        <v>35</v>
      </c>
      <c r="C11" s="3" t="s">
        <v>36</v>
      </c>
      <c r="D11" s="3" t="s">
        <v>14</v>
      </c>
      <c r="E11" s="3" t="s">
        <v>34</v>
      </c>
      <c r="F11" s="2">
        <v>15000</v>
      </c>
      <c r="G11" s="4">
        <v>0.6</v>
      </c>
      <c r="H11" s="2">
        <f>ROUND(F11/(1-G11),-3)</f>
        <v>38000</v>
      </c>
      <c r="I11" s="2">
        <v>42000</v>
      </c>
      <c r="J11" s="2">
        <v>260</v>
      </c>
      <c r="K11" s="2">
        <v>45</v>
      </c>
      <c r="L11" s="3" t="s">
        <v>16</v>
      </c>
    </row>
    <row r="12">
      <c r="A12" s="8">
        <v>11</v>
      </c>
      <c r="B12" s="3" t="s">
        <v>37</v>
      </c>
      <c r="C12" s="3" t="s">
        <v>38</v>
      </c>
      <c r="D12" s="3" t="s">
        <v>14</v>
      </c>
      <c r="E12" s="3" t="s">
        <v>34</v>
      </c>
      <c r="F12" s="2">
        <v>45000</v>
      </c>
      <c r="G12" s="4">
        <v>0.6</v>
      </c>
      <c r="H12" s="2">
        <f>ROUND(F12/(1-G12),-3)</f>
        <v>112000</v>
      </c>
      <c r="I12" s="2">
        <v>135000</v>
      </c>
      <c r="J12" s="2">
        <v>140</v>
      </c>
      <c r="K12" s="2">
        <v>25</v>
      </c>
      <c r="L12" s="3" t="s">
        <v>25</v>
      </c>
    </row>
    <row r="13">
      <c r="A13" s="8">
        <v>12</v>
      </c>
      <c r="B13" s="3" t="s">
        <v>39</v>
      </c>
      <c r="C13" s="3" t="s">
        <v>40</v>
      </c>
      <c r="D13" s="3" t="s">
        <v>14</v>
      </c>
      <c r="E13" s="3" t="s">
        <v>34</v>
      </c>
      <c r="F13" s="2">
        <v>25000</v>
      </c>
      <c r="G13" s="4">
        <v>0.6</v>
      </c>
      <c r="H13" s="2">
        <f>ROUND(F13/(1-G13),-3)</f>
        <v>62000</v>
      </c>
      <c r="I13" s="2">
        <v>69000</v>
      </c>
      <c r="J13" s="2">
        <v>130</v>
      </c>
      <c r="K13" s="2">
        <v>25</v>
      </c>
      <c r="L13" s="3" t="s">
        <v>25</v>
      </c>
    </row>
    <row r="14">
      <c r="A14" s="8">
        <v>13</v>
      </c>
      <c r="B14" s="3" t="s">
        <v>41</v>
      </c>
      <c r="C14" s="3" t="s">
        <v>42</v>
      </c>
      <c r="D14" s="3" t="s">
        <v>14</v>
      </c>
      <c r="E14" s="3" t="s">
        <v>34</v>
      </c>
      <c r="F14" s="2">
        <v>10000</v>
      </c>
      <c r="G14" s="4">
        <v>0.6</v>
      </c>
      <c r="H14" s="2">
        <f>ROUND(F14/(1-G14),-3)</f>
        <v>25000</v>
      </c>
      <c r="I14" s="2">
        <v>35000</v>
      </c>
      <c r="J14" s="2">
        <v>200</v>
      </c>
      <c r="K14" s="2">
        <v>35</v>
      </c>
      <c r="L14" s="3" t="s">
        <v>16</v>
      </c>
    </row>
    <row r="15">
      <c r="A15" s="8">
        <v>14</v>
      </c>
      <c r="B15" s="3" t="s">
        <v>43</v>
      </c>
      <c r="C15" s="3" t="s">
        <v>44</v>
      </c>
      <c r="D15" s="3" t="s">
        <v>14</v>
      </c>
      <c r="E15" s="3" t="s">
        <v>34</v>
      </c>
      <c r="F15" s="2">
        <v>18000</v>
      </c>
      <c r="G15" s="4">
        <v>0.6</v>
      </c>
      <c r="H15" s="2">
        <f>ROUND(F15/(1-G15),-3)</f>
        <v>45000</v>
      </c>
      <c r="I15" s="2">
        <v>59000</v>
      </c>
      <c r="J15" s="2">
        <v>170</v>
      </c>
      <c r="K15" s="2">
        <v>30</v>
      </c>
      <c r="L15" s="3" t="s">
        <v>16</v>
      </c>
    </row>
    <row r="16">
      <c r="A16" s="8">
        <v>15</v>
      </c>
      <c r="B16" s="3" t="s">
        <v>45</v>
      </c>
      <c r="C16" s="3" t="s">
        <v>46</v>
      </c>
      <c r="D16" s="3" t="s">
        <v>14</v>
      </c>
      <c r="E16" s="3" t="s">
        <v>34</v>
      </c>
      <c r="F16" s="2">
        <v>22000</v>
      </c>
      <c r="G16" s="4">
        <v>0.6</v>
      </c>
      <c r="H16" s="2">
        <f>ROUND(F16/(1-G16),-3)</f>
        <v>55000</v>
      </c>
      <c r="I16" s="2">
        <v>65000</v>
      </c>
      <c r="J16" s="2">
        <v>110</v>
      </c>
      <c r="K16" s="2">
        <v>20</v>
      </c>
      <c r="L16" s="3" t="s">
        <v>25</v>
      </c>
    </row>
    <row r="17">
      <c r="A17" s="8">
        <v>16</v>
      </c>
      <c r="B17" s="3" t="s">
        <v>47</v>
      </c>
      <c r="C17" s="3" t="s">
        <v>48</v>
      </c>
      <c r="D17" s="3" t="s">
        <v>14</v>
      </c>
      <c r="E17" s="3" t="s">
        <v>49</v>
      </c>
      <c r="F17" s="2">
        <v>24000</v>
      </c>
      <c r="G17" s="4">
        <v>0.58</v>
      </c>
      <c r="H17" s="2">
        <f>ROUND(F17/(1-G17),-3)</f>
        <v>57000</v>
      </c>
      <c r="I17" s="2">
        <v>69000</v>
      </c>
      <c r="J17" s="2">
        <v>150</v>
      </c>
      <c r="K17" s="2">
        <v>30</v>
      </c>
      <c r="L17" s="3" t="s">
        <v>16</v>
      </c>
    </row>
    <row r="18">
      <c r="A18" s="8">
        <v>17</v>
      </c>
      <c r="B18" s="3" t="s">
        <v>50</v>
      </c>
      <c r="C18" s="3" t="s">
        <v>51</v>
      </c>
      <c r="D18" s="3" t="s">
        <v>14</v>
      </c>
      <c r="E18" s="3" t="s">
        <v>49</v>
      </c>
      <c r="F18" s="2">
        <v>18000</v>
      </c>
      <c r="G18" s="4">
        <v>0.58</v>
      </c>
      <c r="H18" s="2">
        <f>ROUND(F18/(1-G18),-3)</f>
        <v>43000</v>
      </c>
      <c r="I18" s="2">
        <v>49000</v>
      </c>
      <c r="J18" s="2">
        <v>240</v>
      </c>
      <c r="K18" s="2">
        <v>45</v>
      </c>
      <c r="L18" s="3" t="s">
        <v>16</v>
      </c>
    </row>
    <row r="19">
      <c r="A19" s="8">
        <v>18</v>
      </c>
      <c r="B19" s="3" t="s">
        <v>52</v>
      </c>
      <c r="C19" s="3" t="s">
        <v>53</v>
      </c>
      <c r="D19" s="3" t="s">
        <v>14</v>
      </c>
      <c r="E19" s="3" t="s">
        <v>49</v>
      </c>
      <c r="F19" s="2">
        <v>18000</v>
      </c>
      <c r="G19" s="4">
        <v>0.58</v>
      </c>
      <c r="H19" s="2">
        <f>ROUND(F19/(1-G19),-3)</f>
        <v>43000</v>
      </c>
      <c r="I19" s="2">
        <v>49000</v>
      </c>
      <c r="J19" s="2">
        <v>210</v>
      </c>
      <c r="K19" s="2">
        <v>40</v>
      </c>
      <c r="L19" s="3" t="s">
        <v>16</v>
      </c>
    </row>
    <row r="20">
      <c r="A20" s="8">
        <v>19</v>
      </c>
      <c r="B20" s="3" t="s">
        <v>54</v>
      </c>
      <c r="C20" s="3" t="s">
        <v>55</v>
      </c>
      <c r="D20" s="3" t="s">
        <v>14</v>
      </c>
      <c r="E20" s="3" t="s">
        <v>49</v>
      </c>
      <c r="F20" s="2">
        <v>20000</v>
      </c>
      <c r="G20" s="4">
        <v>0.58</v>
      </c>
      <c r="H20" s="2">
        <f>ROUND(F20/(1-G20),-3)</f>
        <v>48000</v>
      </c>
      <c r="I20" s="2">
        <v>59000</v>
      </c>
      <c r="J20" s="2">
        <v>130</v>
      </c>
      <c r="K20" s="2">
        <v>25</v>
      </c>
      <c r="L20" s="3" t="s">
        <v>25</v>
      </c>
    </row>
    <row r="21">
      <c r="A21" s="8">
        <v>20</v>
      </c>
      <c r="B21" s="3" t="s">
        <v>56</v>
      </c>
      <c r="C21" s="3" t="s">
        <v>57</v>
      </c>
      <c r="D21" s="3" t="s">
        <v>14</v>
      </c>
      <c r="E21" s="3" t="s">
        <v>49</v>
      </c>
      <c r="F21" s="2">
        <v>26000</v>
      </c>
      <c r="G21" s="4">
        <v>0.58</v>
      </c>
      <c r="H21" s="2">
        <f>ROUND(F21/(1-G21),-3)</f>
        <v>62000</v>
      </c>
      <c r="I21" s="2">
        <v>72000</v>
      </c>
      <c r="J21" s="2">
        <v>32</v>
      </c>
      <c r="K21" s="2">
        <v>20</v>
      </c>
      <c r="L21" s="3" t="s">
        <v>25</v>
      </c>
    </row>
    <row r="22">
      <c r="A22" s="8">
        <v>21</v>
      </c>
      <c r="B22" s="3" t="s">
        <v>58</v>
      </c>
      <c r="C22" s="3" t="s">
        <v>59</v>
      </c>
      <c r="D22" s="3" t="s">
        <v>14</v>
      </c>
      <c r="E22" s="3" t="s">
        <v>60</v>
      </c>
      <c r="F22" s="2">
        <v>16000</v>
      </c>
      <c r="G22" s="4">
        <v>0.55</v>
      </c>
      <c r="H22" s="2">
        <f>ROUND(F22/(1-G22),-3)</f>
        <v>36000</v>
      </c>
      <c r="I22" s="2">
        <v>45000</v>
      </c>
      <c r="J22" s="2">
        <v>220</v>
      </c>
      <c r="K22" s="2">
        <v>40</v>
      </c>
      <c r="L22" s="3" t="s">
        <v>16</v>
      </c>
    </row>
    <row r="23">
      <c r="A23" s="8">
        <v>22</v>
      </c>
      <c r="B23" s="3" t="s">
        <v>61</v>
      </c>
      <c r="C23" s="3" t="s">
        <v>62</v>
      </c>
      <c r="D23" s="3" t="s">
        <v>14</v>
      </c>
      <c r="E23" s="3" t="s">
        <v>60</v>
      </c>
      <c r="F23" s="2">
        <v>17000</v>
      </c>
      <c r="G23" s="4">
        <v>0.55</v>
      </c>
      <c r="H23" s="2">
        <f>ROUND(F23/(1-G23),-3)</f>
        <v>38000</v>
      </c>
      <c r="I23" s="2">
        <v>48000</v>
      </c>
      <c r="J23" s="2">
        <v>140</v>
      </c>
      <c r="K23" s="2">
        <v>25</v>
      </c>
      <c r="L23" s="3" t="s">
        <v>25</v>
      </c>
    </row>
    <row r="24">
      <c r="A24" s="8">
        <v>23</v>
      </c>
      <c r="B24" s="3" t="s">
        <v>63</v>
      </c>
      <c r="C24" s="3" t="s">
        <v>64</v>
      </c>
      <c r="D24" s="3" t="s">
        <v>14</v>
      </c>
      <c r="E24" s="3" t="s">
        <v>60</v>
      </c>
      <c r="F24" s="2">
        <v>19000</v>
      </c>
      <c r="G24" s="4">
        <v>0.55</v>
      </c>
      <c r="H24" s="2">
        <f>ROUND(F24/(1-G24),-3)</f>
        <v>42000</v>
      </c>
      <c r="I24" s="2">
        <v>55000</v>
      </c>
      <c r="J24" s="2">
        <v>160</v>
      </c>
      <c r="K24" s="2">
        <v>30</v>
      </c>
      <c r="L24" s="3" t="s">
        <v>16</v>
      </c>
    </row>
    <row r="25">
      <c r="A25" s="8">
        <v>24</v>
      </c>
      <c r="B25" s="3" t="s">
        <v>65</v>
      </c>
      <c r="C25" s="3" t="s">
        <v>66</v>
      </c>
      <c r="D25" s="3" t="s">
        <v>14</v>
      </c>
      <c r="E25" s="3" t="s">
        <v>67</v>
      </c>
      <c r="F25" s="2">
        <v>55000</v>
      </c>
      <c r="G25" s="4">
        <v>0.65</v>
      </c>
      <c r="H25" s="2">
        <f>ROUND(F25/(1-G25),-3)</f>
        <v>157000</v>
      </c>
      <c r="I25" s="2">
        <v>179000</v>
      </c>
      <c r="J25" s="2">
        <v>45</v>
      </c>
      <c r="K25" s="2">
        <v>15</v>
      </c>
      <c r="L25" s="3" t="s">
        <v>25</v>
      </c>
    </row>
    <row r="26">
      <c r="A26" s="8">
        <v>25</v>
      </c>
      <c r="B26" s="3" t="s">
        <v>68</v>
      </c>
      <c r="C26" s="3" t="s">
        <v>69</v>
      </c>
      <c r="D26" s="3" t="s">
        <v>14</v>
      </c>
      <c r="E26" s="3" t="s">
        <v>67</v>
      </c>
      <c r="F26" s="2">
        <v>85000</v>
      </c>
      <c r="G26" s="4">
        <v>0.65</v>
      </c>
      <c r="H26" s="2">
        <f>ROUND(F26/(1-G26),-3)</f>
        <v>243000</v>
      </c>
      <c r="I26" s="2">
        <v>259000</v>
      </c>
      <c r="J26" s="2">
        <v>50</v>
      </c>
      <c r="K26" s="2">
        <v>10</v>
      </c>
      <c r="L26" s="3" t="s">
        <v>25</v>
      </c>
    </row>
  </sheetData>
</worksheet>
</file>

<file path=xl/worksheets/sheet2.xml><?xml version="1.0" encoding="utf-8"?>
<worksheet xmlns="http://schemas.openxmlformats.org/spreadsheetml/2006/main">
  <dimension ref="A1:V102"/>
  <sheetViews>
    <sheetView tabSelected="0" workbookViewId="0">
      <pane ySplit="1" topLeftCell="A2" activePane="bottomLeft" state="frozen"/>
    </sheetView>
  </sheetViews>
  <sheetFormatPr defaultRowHeight="15"/>
  <cols>
    <col min="1" max="1" width="5" customWidth="1"/>
    <col min="2" max="2" width="14" customWidth="1"/>
    <col min="3" max="3" width="10" customWidth="1"/>
    <col min="4" max="4" width="14" customWidth="1"/>
    <col min="5" max="5" width="10" customWidth="1"/>
    <col min="6" max="6" width="30" customWidth="1"/>
    <col min="7" max="7" width="10" customWidth="1"/>
    <col min="8" max="8" width="16" customWidth="1"/>
    <col min="9" max="9" width="10" customWidth="1"/>
    <col min="10" max="10" width="16" customWidth="1"/>
    <col min="11" max="11" width="16" customWidth="1"/>
    <col min="12" max="12" width="14" customWidth="1"/>
    <col min="13" max="13" width="14" customWidth="1"/>
    <col min="14" max="14" width="14" customWidth="1"/>
    <col min="15" max="15" width="11" customWidth="1"/>
    <col min="16" max="16" width="22" customWidth="1"/>
    <col min="17" max="17" width="12" customWidth="1"/>
    <col min="18" max="18" width="16" customWidth="1"/>
    <col min="19" max="19" width="20" customWidth="1"/>
    <col min="20" max="20" width="18" customWidth="1"/>
    <col min="21" max="21" width="15" customWidth="1"/>
    <col min="22" max="22" width="18" customWidth="1"/>
  </cols>
  <sheetData>
    <row r="1">
      <c r="A1" s="11" t="s">
        <v>0</v>
      </c>
      <c r="B1" s="11" t="s">
        <v>70</v>
      </c>
      <c r="C1" s="11" t="s">
        <v>71</v>
      </c>
      <c r="D1" s="11" t="s">
        <v>72</v>
      </c>
      <c r="E1" s="11" t="s">
        <v>1</v>
      </c>
      <c r="F1" s="11" t="s">
        <v>2</v>
      </c>
      <c r="G1" s="11" t="s">
        <v>73</v>
      </c>
      <c r="H1" s="11" t="s">
        <v>74</v>
      </c>
      <c r="I1" s="11" t="s">
        <v>75</v>
      </c>
      <c r="J1" s="11" t="s">
        <v>76</v>
      </c>
      <c r="K1" s="11" t="s">
        <v>77</v>
      </c>
      <c r="L1" s="11" t="s">
        <v>5</v>
      </c>
      <c r="M1" s="11" t="s">
        <v>78</v>
      </c>
      <c r="N1" s="11" t="s">
        <v>79</v>
      </c>
      <c r="O1" s="11" t="s">
        <v>80</v>
      </c>
      <c r="P1" s="11" t="s">
        <v>81</v>
      </c>
      <c r="Q1" s="11" t="s">
        <v>82</v>
      </c>
      <c r="R1" s="11" t="s">
        <v>83</v>
      </c>
      <c r="S1" s="11" t="s">
        <v>84</v>
      </c>
      <c r="T1" s="11" t="s">
        <v>85</v>
      </c>
      <c r="U1" s="11" t="s">
        <v>86</v>
      </c>
      <c r="V1" s="11" t="s">
        <v>87</v>
      </c>
    </row>
    <row r="2">
      <c r="A2" s="8">
        <v>1</v>
      </c>
      <c r="B2" s="5">
        <v>46266</v>
      </c>
      <c r="C2" s="8" t="s">
        <v>88</v>
      </c>
      <c r="D2" s="3" t="s">
        <v>89</v>
      </c>
      <c r="E2" s="3" t="s">
        <v>19</v>
      </c>
      <c r="F2" t="str" s="3">
        <f>VLOOKUP(E2,'Master Inventory'!$B$2:$L$26,2,FALSE)</f>
        <v>Serum Vitamin C 20ml</v>
      </c>
      <c r="G2" s="2">
        <v>2</v>
      </c>
      <c r="H2" s="2">
        <v>93500</v>
      </c>
      <c r="I2" s="4">
        <v>0.21</v>
      </c>
      <c r="J2" s="2">
        <v>73900</v>
      </c>
      <c r="K2" s="2">
        <f>J2*G2</f>
        <v>147800</v>
      </c>
      <c r="L2" s="2">
        <f>VLOOKUP(E2,'Master Inventory'!$B$2:$L$26,5,FALSE)</f>
        <v>35000</v>
      </c>
      <c r="M2" s="2">
        <f>L2*G2</f>
        <v>70000</v>
      </c>
      <c r="N2" s="2">
        <f>K2-M2</f>
        <v>77800</v>
      </c>
      <c r="O2" s="4">
        <f>IFERROR(N2/K2,0)</f>
        <v>0.526387</v>
      </c>
      <c r="P2" t="str" s="3">
        <f>IF(J2&lt;L2,"BELOW COGS","OK")</f>
        <v>OK</v>
      </c>
      <c r="Q2" s="4">
        <v>0.07</v>
      </c>
      <c r="R2" s="2">
        <f>K2*Q2</f>
        <v>10346</v>
      </c>
      <c r="S2" s="2">
        <f>K2-R2</f>
        <v>137454</v>
      </c>
      <c r="T2" s="2">
        <f>S2-M2</f>
        <v>67454</v>
      </c>
      <c r="U2" s="4">
        <f>IFERROR(T2/S2,0)</f>
        <v>0.490739</v>
      </c>
      <c r="V2" t="str" s="3">
        <f>IF(T2&lt;0,"RUGI SETELAH FEE","OK")</f>
        <v>OK</v>
      </c>
    </row>
    <row r="3">
      <c r="A3" s="8">
        <v>2</v>
      </c>
      <c r="B3" s="5">
        <v>46266</v>
      </c>
      <c r="C3" s="8" t="s">
        <v>88</v>
      </c>
      <c r="D3" s="3" t="s">
        <v>90</v>
      </c>
      <c r="E3" s="3" t="s">
        <v>56</v>
      </c>
      <c r="F3" t="str" s="3">
        <f>VLOOKUP(E3,'Master Inventory'!$B$2:$L$26,2,FALSE)</f>
        <v>Hair Vitamin Ampoule (Box 6pcs)</v>
      </c>
      <c r="G3" s="2">
        <v>3</v>
      </c>
      <c r="H3" s="2">
        <v>72000</v>
      </c>
      <c r="I3" s="4">
        <v>0.63</v>
      </c>
      <c r="J3" s="2">
        <v>26600</v>
      </c>
      <c r="K3" s="2">
        <f>J3*G3</f>
        <v>79800</v>
      </c>
      <c r="L3" s="2">
        <f>VLOOKUP(E3,'Master Inventory'!$B$2:$L$26,5,FALSE)</f>
        <v>26000</v>
      </c>
      <c r="M3" s="2">
        <f>L3*G3</f>
        <v>78000</v>
      </c>
      <c r="N3" s="2">
        <f>K3-M3</f>
        <v>1800</v>
      </c>
      <c r="O3" s="4">
        <f>IFERROR(N3/K3,0)</f>
        <v>0.022556</v>
      </c>
      <c r="P3" t="str" s="3">
        <f>IF(J3&lt;L3,"BELOW COGS","OK")</f>
        <v>OK</v>
      </c>
      <c r="Q3" s="4">
        <v>0.07</v>
      </c>
      <c r="R3" s="2">
        <f>K3*Q3</f>
        <v>5586</v>
      </c>
      <c r="S3" s="2">
        <f>K3-R3</f>
        <v>74214</v>
      </c>
      <c r="T3" s="2">
        <f>S3-M3</f>
        <v>-3786</v>
      </c>
      <c r="U3" s="4">
        <f>IFERROR(T3/S3,0)</f>
        <v>-0.051015</v>
      </c>
      <c r="V3" t="str" s="3">
        <f>IF(T3&lt;0,"RUGI SETELAH FEE","OK")</f>
        <v>RUGI SETELAH FEE</v>
      </c>
    </row>
    <row r="4">
      <c r="A4" s="8">
        <v>3</v>
      </c>
      <c r="B4" s="5">
        <v>46266</v>
      </c>
      <c r="C4" s="8" t="s">
        <v>88</v>
      </c>
      <c r="D4" s="3" t="s">
        <v>91</v>
      </c>
      <c r="E4" s="3" t="s">
        <v>37</v>
      </c>
      <c r="F4" t="str" s="3">
        <f>VLOOKUP(E4,'Master Inventory'!$B$2:$L$26,2,FALSE)</f>
        <v>Cushion Foundation SPF35</v>
      </c>
      <c r="G4" s="2">
        <v>2</v>
      </c>
      <c r="H4" s="2">
        <v>138500</v>
      </c>
      <c r="I4" s="4">
        <v>0.72</v>
      </c>
      <c r="J4" s="2">
        <v>38800</v>
      </c>
      <c r="K4" s="2">
        <f>J4*G4</f>
        <v>77600</v>
      </c>
      <c r="L4" s="2">
        <f>VLOOKUP(E4,'Master Inventory'!$B$2:$L$26,5,FALSE)</f>
        <v>45000</v>
      </c>
      <c r="M4" s="2">
        <f>L4*G4</f>
        <v>90000</v>
      </c>
      <c r="N4" s="2">
        <f>K4-M4</f>
        <v>-12400</v>
      </c>
      <c r="O4" s="4">
        <f>IFERROR(N4/K4,0)</f>
        <v>-0.159794</v>
      </c>
      <c r="P4" t="str" s="3">
        <f>IF(J4&lt;L4,"BELOW COGS","OK")</f>
        <v>BELOW COGS</v>
      </c>
      <c r="Q4" s="4">
        <v>0.07</v>
      </c>
      <c r="R4" s="2">
        <f>K4*Q4</f>
        <v>5432</v>
      </c>
      <c r="S4" s="2">
        <f>K4-R4</f>
        <v>72168</v>
      </c>
      <c r="T4" s="2">
        <f>S4-M4</f>
        <v>-17832</v>
      </c>
      <c r="U4" s="4">
        <f>IFERROR(T4/S4,0)</f>
        <v>-0.24709</v>
      </c>
      <c r="V4" t="str" s="3">
        <f>IF(T4&lt;0,"RUGI SETELAH FEE","OK")</f>
        <v>RUGI SETELAH FEE</v>
      </c>
    </row>
    <row r="5">
      <c r="A5" s="8">
        <v>4</v>
      </c>
      <c r="B5" s="5">
        <v>46266</v>
      </c>
      <c r="C5" s="8" t="s">
        <v>88</v>
      </c>
      <c r="D5" s="3" t="s">
        <v>92</v>
      </c>
      <c r="E5" s="3" t="s">
        <v>61</v>
      </c>
      <c r="F5" t="str" s="3">
        <f>VLOOKUP(E5,'Master Inventory'!$B$2:$L$26,2,FALSE)</f>
        <v>Body Scrub Coffee 200g</v>
      </c>
      <c r="G5" s="2">
        <v>2</v>
      </c>
      <c r="H5" s="2">
        <v>47000</v>
      </c>
      <c r="I5" s="4">
        <v>0.57</v>
      </c>
      <c r="J5" s="2">
        <v>20200</v>
      </c>
      <c r="K5" s="2">
        <f>J5*G5</f>
        <v>40400</v>
      </c>
      <c r="L5" s="2">
        <f>VLOOKUP(E5,'Master Inventory'!$B$2:$L$26,5,FALSE)</f>
        <v>17000</v>
      </c>
      <c r="M5" s="2">
        <f>L5*G5</f>
        <v>34000</v>
      </c>
      <c r="N5" s="2">
        <f>K5-M5</f>
        <v>6400</v>
      </c>
      <c r="O5" s="4">
        <f>IFERROR(N5/K5,0)</f>
        <v>0.158416</v>
      </c>
      <c r="P5" t="str" s="3">
        <f>IF(J5&lt;L5,"BELOW COGS","OK")</f>
        <v>OK</v>
      </c>
      <c r="Q5" s="4">
        <v>0.07</v>
      </c>
      <c r="R5" s="2">
        <f>K5*Q5</f>
        <v>2828</v>
      </c>
      <c r="S5" s="2">
        <f>K5-R5</f>
        <v>37572</v>
      </c>
      <c r="T5" s="2">
        <f>S5-M5</f>
        <v>3572</v>
      </c>
      <c r="U5" s="4">
        <f>IFERROR(T5/S5,0)</f>
        <v>0.095071</v>
      </c>
      <c r="V5" t="str" s="3">
        <f>IF(T5&lt;0,"RUGI SETELAH FEE","OK")</f>
        <v>OK</v>
      </c>
    </row>
    <row r="6">
      <c r="A6" s="8">
        <v>5</v>
      </c>
      <c r="B6" s="5">
        <v>46266</v>
      </c>
      <c r="C6" s="8" t="s">
        <v>88</v>
      </c>
      <c r="D6" s="3" t="s">
        <v>93</v>
      </c>
      <c r="E6" s="3" t="s">
        <v>68</v>
      </c>
      <c r="F6" t="str" s="3">
        <f>VLOOKUP(E6,'Master Inventory'!$B$2:$L$26,2,FALSE)</f>
        <v>Eau de Parfum 50ml</v>
      </c>
      <c r="G6" s="2">
        <v>1</v>
      </c>
      <c r="H6" s="2">
        <v>273500</v>
      </c>
      <c r="I6" s="4">
        <v>0.73</v>
      </c>
      <c r="J6" s="2">
        <v>73800</v>
      </c>
      <c r="K6" s="2">
        <f>J6*G6</f>
        <v>73800</v>
      </c>
      <c r="L6" s="2">
        <f>VLOOKUP(E6,'Master Inventory'!$B$2:$L$26,5,FALSE)</f>
        <v>85000</v>
      </c>
      <c r="M6" s="2">
        <f>L6*G6</f>
        <v>85000</v>
      </c>
      <c r="N6" s="2">
        <f>K6-M6</f>
        <v>-11200</v>
      </c>
      <c r="O6" s="4">
        <f>IFERROR(N6/K6,0)</f>
        <v>-0.151762</v>
      </c>
      <c r="P6" t="str" s="3">
        <f>IF(J6&lt;L6,"BELOW COGS","OK")</f>
        <v>BELOW COGS</v>
      </c>
      <c r="Q6" s="4">
        <v>0.07</v>
      </c>
      <c r="R6" s="2">
        <f>K6*Q6</f>
        <v>5166</v>
      </c>
      <c r="S6" s="2">
        <f>K6-R6</f>
        <v>68634</v>
      </c>
      <c r="T6" s="2">
        <f>S6-M6</f>
        <v>-16366</v>
      </c>
      <c r="U6" s="4">
        <f>IFERROR(T6/S6,0)</f>
        <v>-0.238453</v>
      </c>
      <c r="V6" t="str" s="3">
        <f>IF(T6&lt;0,"RUGI SETELAH FEE","OK")</f>
        <v>RUGI SETELAH FEE</v>
      </c>
    </row>
    <row r="7">
      <c r="A7" s="8">
        <v>6</v>
      </c>
      <c r="B7" s="5">
        <v>46267</v>
      </c>
      <c r="C7" s="8" t="s">
        <v>88</v>
      </c>
      <c r="D7" s="3" t="s">
        <v>94</v>
      </c>
      <c r="E7" s="3" t="s">
        <v>30</v>
      </c>
      <c r="F7" t="str" s="3">
        <f>VLOOKUP(E7,'Master Inventory'!$B$2:$L$26,2,FALSE)</f>
        <v>Sheet Mask Brightening (Box 5pcs)</v>
      </c>
      <c r="G7" s="2">
        <v>1</v>
      </c>
      <c r="H7" s="2">
        <v>59500</v>
      </c>
      <c r="I7" s="4">
        <v>0.01</v>
      </c>
      <c r="J7" s="2">
        <v>58900</v>
      </c>
      <c r="K7" s="2">
        <f>J7*G7</f>
        <v>58900</v>
      </c>
      <c r="L7" s="2">
        <f>VLOOKUP(E7,'Master Inventory'!$B$2:$L$26,5,FALSE)</f>
        <v>20000</v>
      </c>
      <c r="M7" s="2">
        <f>L7*G7</f>
        <v>20000</v>
      </c>
      <c r="N7" s="2">
        <f>K7-M7</f>
        <v>38900</v>
      </c>
      <c r="O7" s="4">
        <f>IFERROR(N7/K7,0)</f>
        <v>0.660441</v>
      </c>
      <c r="P7" t="str" s="3">
        <f>IF(J7&lt;L7,"BELOW COGS","OK")</f>
        <v>OK</v>
      </c>
      <c r="Q7" s="4">
        <v>0.07</v>
      </c>
      <c r="R7" s="2">
        <f>K7*Q7</f>
        <v>4123</v>
      </c>
      <c r="S7" s="2">
        <f>K7-R7</f>
        <v>54777</v>
      </c>
      <c r="T7" s="2">
        <f>S7-M7</f>
        <v>34777</v>
      </c>
      <c r="U7" s="4">
        <f>IFERROR(T7/S7,0)</f>
        <v>0.634883</v>
      </c>
      <c r="V7" t="str" s="3">
        <f>IF(T7&lt;0,"RUGI SETELAH FEE","OK")</f>
        <v>OK</v>
      </c>
    </row>
    <row r="8">
      <c r="A8" s="8">
        <v>7</v>
      </c>
      <c r="B8" s="5">
        <v>46267</v>
      </c>
      <c r="C8" s="8" t="s">
        <v>88</v>
      </c>
      <c r="D8" s="3" t="s">
        <v>95</v>
      </c>
      <c r="E8" s="3" t="s">
        <v>63</v>
      </c>
      <c r="F8" t="str" s="3">
        <f>VLOOKUP(E8,'Master Inventory'!$B$2:$L$26,2,FALSE)</f>
        <v>Body Mist Fresh Bloom 100ml</v>
      </c>
      <c r="G8" s="2">
        <v>4</v>
      </c>
      <c r="H8" s="2">
        <v>49500</v>
      </c>
      <c r="I8" s="4">
        <v>0.04</v>
      </c>
      <c r="J8" s="2">
        <v>47500</v>
      </c>
      <c r="K8" s="2">
        <f>J8*G8</f>
        <v>190000</v>
      </c>
      <c r="L8" s="2">
        <f>VLOOKUP(E8,'Master Inventory'!$B$2:$L$26,5,FALSE)</f>
        <v>19000</v>
      </c>
      <c r="M8" s="2">
        <f>L8*G8</f>
        <v>76000</v>
      </c>
      <c r="N8" s="2">
        <f>K8-M8</f>
        <v>114000</v>
      </c>
      <c r="O8" s="4">
        <f>IFERROR(N8/K8,0)</f>
        <v>0.6</v>
      </c>
      <c r="P8" t="str" s="3">
        <f>IF(J8&lt;L8,"BELOW COGS","OK")</f>
        <v>OK</v>
      </c>
      <c r="Q8" s="4">
        <v>0.07</v>
      </c>
      <c r="R8" s="2">
        <f>K8*Q8</f>
        <v>13300</v>
      </c>
      <c r="S8" s="2">
        <f>K8-R8</f>
        <v>176700</v>
      </c>
      <c r="T8" s="2">
        <f>S8-M8</f>
        <v>100700</v>
      </c>
      <c r="U8" s="4">
        <f>IFERROR(T8/S8,0)</f>
        <v>0.569892</v>
      </c>
      <c r="V8" t="str" s="3">
        <f>IF(T8&lt;0,"RUGI SETELAH FEE","OK")</f>
        <v>OK</v>
      </c>
    </row>
    <row r="9">
      <c r="A9" s="8">
        <v>8</v>
      </c>
      <c r="B9" s="5">
        <v>46268</v>
      </c>
      <c r="C9" s="8" t="s">
        <v>88</v>
      </c>
      <c r="D9" s="3" t="s">
        <v>96</v>
      </c>
      <c r="E9" s="3" t="s">
        <v>65</v>
      </c>
      <c r="F9" t="str" s="3">
        <f>VLOOKUP(E9,'Master Inventory'!$B$2:$L$26,2,FALSE)</f>
        <v>Eau de Toilette 30ml</v>
      </c>
      <c r="G9" s="2">
        <v>4</v>
      </c>
      <c r="H9" s="2">
        <v>190500</v>
      </c>
      <c r="I9" s="4">
        <v>0.04</v>
      </c>
      <c r="J9" s="2">
        <v>182900</v>
      </c>
      <c r="K9" s="2">
        <f>J9*G9</f>
        <v>731600</v>
      </c>
      <c r="L9" s="2">
        <f>VLOOKUP(E9,'Master Inventory'!$B$2:$L$26,5,FALSE)</f>
        <v>55000</v>
      </c>
      <c r="M9" s="2">
        <f>L9*G9</f>
        <v>220000</v>
      </c>
      <c r="N9" s="2">
        <f>K9-M9</f>
        <v>511600</v>
      </c>
      <c r="O9" s="4">
        <f>IFERROR(N9/K9,0)</f>
        <v>0.699289</v>
      </c>
      <c r="P9" t="str" s="3">
        <f>IF(J9&lt;L9,"BELOW COGS","OK")</f>
        <v>OK</v>
      </c>
      <c r="Q9" s="4">
        <v>0.07</v>
      </c>
      <c r="R9" s="2">
        <f>K9*Q9</f>
        <v>51212</v>
      </c>
      <c r="S9" s="2">
        <f>K9-R9</f>
        <v>680388</v>
      </c>
      <c r="T9" s="2">
        <f>S9-M9</f>
        <v>460388</v>
      </c>
      <c r="U9" s="4">
        <f>IFERROR(T9/S9,0)</f>
        <v>0.676655</v>
      </c>
      <c r="V9" t="str" s="3">
        <f>IF(T9&lt;0,"RUGI SETELAH FEE","OK")</f>
        <v>OK</v>
      </c>
    </row>
    <row r="10">
      <c r="A10" s="8">
        <v>9</v>
      </c>
      <c r="B10" s="5">
        <v>46269</v>
      </c>
      <c r="C10" s="8" t="s">
        <v>88</v>
      </c>
      <c r="D10" s="3" t="s">
        <v>97</v>
      </c>
      <c r="E10" s="3" t="s">
        <v>61</v>
      </c>
      <c r="F10" t="str" s="3">
        <f>VLOOKUP(E10,'Master Inventory'!$B$2:$L$26,2,FALSE)</f>
        <v>Body Scrub Coffee 200g</v>
      </c>
      <c r="G10" s="2">
        <v>6</v>
      </c>
      <c r="H10" s="2">
        <v>52000</v>
      </c>
      <c r="I10" s="4">
        <v>0.65</v>
      </c>
      <c r="J10" s="2">
        <v>18200</v>
      </c>
      <c r="K10" s="2">
        <f>J10*G10</f>
        <v>109200</v>
      </c>
      <c r="L10" s="2">
        <f>VLOOKUP(E10,'Master Inventory'!$B$2:$L$26,5,FALSE)</f>
        <v>17000</v>
      </c>
      <c r="M10" s="2">
        <f>L10*G10</f>
        <v>102000</v>
      </c>
      <c r="N10" s="2">
        <f>K10-M10</f>
        <v>7200</v>
      </c>
      <c r="O10" s="4">
        <f>IFERROR(N10/K10,0)</f>
        <v>0.065934</v>
      </c>
      <c r="P10" t="str" s="3">
        <f>IF(J10&lt;L10,"BELOW COGS","OK")</f>
        <v>OK</v>
      </c>
      <c r="Q10" s="4">
        <v>0.07</v>
      </c>
      <c r="R10" s="2">
        <f>K10*Q10</f>
        <v>7644</v>
      </c>
      <c r="S10" s="2">
        <f>K10-R10</f>
        <v>101556</v>
      </c>
      <c r="T10" s="2">
        <f>S10-M10</f>
        <v>-444</v>
      </c>
      <c r="U10" s="4">
        <f>IFERROR(T10/S10,0)</f>
        <v>-0.004372</v>
      </c>
      <c r="V10" t="str" s="3">
        <f>IF(T10&lt;0,"RUGI SETELAH FEE","OK")</f>
        <v>RUGI SETELAH FEE</v>
      </c>
    </row>
    <row r="11">
      <c r="A11" s="8">
        <v>10</v>
      </c>
      <c r="B11" s="5">
        <v>46269</v>
      </c>
      <c r="C11" s="8" t="s">
        <v>88</v>
      </c>
      <c r="D11" s="3" t="s">
        <v>98</v>
      </c>
      <c r="E11" s="3" t="s">
        <v>58</v>
      </c>
      <c r="F11" t="str" s="3">
        <f>VLOOKUP(E11,'Master Inventory'!$B$2:$L$26,2,FALSE)</f>
        <v>Body Lotion Brightening 200ml</v>
      </c>
      <c r="G11" s="2">
        <v>3</v>
      </c>
      <c r="H11" s="2">
        <v>48000</v>
      </c>
      <c r="I11" s="4">
        <v>0.14</v>
      </c>
      <c r="J11" s="2">
        <v>41300</v>
      </c>
      <c r="K11" s="2">
        <f>J11*G11</f>
        <v>123900</v>
      </c>
      <c r="L11" s="2">
        <f>VLOOKUP(E11,'Master Inventory'!$B$2:$L$26,5,FALSE)</f>
        <v>16000</v>
      </c>
      <c r="M11" s="2">
        <f>L11*G11</f>
        <v>48000</v>
      </c>
      <c r="N11" s="2">
        <f>K11-M11</f>
        <v>75900</v>
      </c>
      <c r="O11" s="4">
        <f>IFERROR(N11/K11,0)</f>
        <v>0.612591</v>
      </c>
      <c r="P11" t="str" s="3">
        <f>IF(J11&lt;L11,"BELOW COGS","OK")</f>
        <v>OK</v>
      </c>
      <c r="Q11" s="4">
        <v>0.07</v>
      </c>
      <c r="R11" s="2">
        <f>K11*Q11</f>
        <v>8673</v>
      </c>
      <c r="S11" s="2">
        <f>K11-R11</f>
        <v>115227</v>
      </c>
      <c r="T11" s="2">
        <f>S11-M11</f>
        <v>67227</v>
      </c>
      <c r="U11" s="4">
        <f>IFERROR(T11/S11,0)</f>
        <v>0.583431</v>
      </c>
      <c r="V11" t="str" s="3">
        <f>IF(T11&lt;0,"RUGI SETELAH FEE","OK")</f>
        <v>OK</v>
      </c>
    </row>
    <row r="12">
      <c r="A12" s="8">
        <v>11</v>
      </c>
      <c r="B12" s="5">
        <v>46269</v>
      </c>
      <c r="C12" s="8" t="s">
        <v>88</v>
      </c>
      <c r="D12" s="3" t="s">
        <v>99</v>
      </c>
      <c r="E12" s="3" t="s">
        <v>19</v>
      </c>
      <c r="F12" t="str" s="3">
        <f>VLOOKUP(E12,'Master Inventory'!$B$2:$L$26,2,FALSE)</f>
        <v>Serum Vitamin C 20ml</v>
      </c>
      <c r="G12" s="2">
        <v>5</v>
      </c>
      <c r="H12" s="2">
        <v>93500</v>
      </c>
      <c r="I12" s="4">
        <v>0.76</v>
      </c>
      <c r="J12" s="2">
        <v>22400</v>
      </c>
      <c r="K12" s="2">
        <f>J12*G12</f>
        <v>112000</v>
      </c>
      <c r="L12" s="2">
        <f>VLOOKUP(E12,'Master Inventory'!$B$2:$L$26,5,FALSE)</f>
        <v>35000</v>
      </c>
      <c r="M12" s="2">
        <f>L12*G12</f>
        <v>175000</v>
      </c>
      <c r="N12" s="2">
        <f>K12-M12</f>
        <v>-63000</v>
      </c>
      <c r="O12" s="4">
        <f>IFERROR(N12/K12,0)</f>
        <v>-0.5625</v>
      </c>
      <c r="P12" t="str" s="3">
        <f>IF(J12&lt;L12,"BELOW COGS","OK")</f>
        <v>BELOW COGS</v>
      </c>
      <c r="Q12" s="4">
        <v>0.07</v>
      </c>
      <c r="R12" s="2">
        <f>K12*Q12</f>
        <v>7840</v>
      </c>
      <c r="S12" s="2">
        <f>K12-R12</f>
        <v>104160</v>
      </c>
      <c r="T12" s="2">
        <f>S12-M12</f>
        <v>-70840</v>
      </c>
      <c r="U12" s="4">
        <f>IFERROR(T12/S12,0)</f>
        <v>-0.680108</v>
      </c>
      <c r="V12" t="str" s="3">
        <f>IF(T12&lt;0,"RUGI SETELAH FEE","OK")</f>
        <v>RUGI SETELAH FEE</v>
      </c>
    </row>
    <row r="13">
      <c r="A13" s="8">
        <v>12</v>
      </c>
      <c r="B13" s="5">
        <v>46270</v>
      </c>
      <c r="C13" s="8" t="s">
        <v>88</v>
      </c>
      <c r="D13" s="3" t="s">
        <v>100</v>
      </c>
      <c r="E13" s="3" t="s">
        <v>50</v>
      </c>
      <c r="F13" t="str" s="3">
        <f>VLOOKUP(E13,'Master Inventory'!$B$2:$L$26,2,FALSE)</f>
        <v>Shampoo Anti Hairfall 300ml</v>
      </c>
      <c r="G13" s="2">
        <v>4</v>
      </c>
      <c r="H13" s="2">
        <v>45000</v>
      </c>
      <c r="I13" s="4">
        <v>0.58</v>
      </c>
      <c r="J13" s="2">
        <v>18900</v>
      </c>
      <c r="K13" s="2">
        <f>J13*G13</f>
        <v>75600</v>
      </c>
      <c r="L13" s="2">
        <f>VLOOKUP(E13,'Master Inventory'!$B$2:$L$26,5,FALSE)</f>
        <v>18000</v>
      </c>
      <c r="M13" s="2">
        <f>L13*G13</f>
        <v>72000</v>
      </c>
      <c r="N13" s="2">
        <f>K13-M13</f>
        <v>3600</v>
      </c>
      <c r="O13" s="4">
        <f>IFERROR(N13/K13,0)</f>
        <v>0.047619</v>
      </c>
      <c r="P13" t="str" s="3">
        <f>IF(J13&lt;L13,"BELOW COGS","OK")</f>
        <v>OK</v>
      </c>
      <c r="Q13" s="4">
        <v>0.07</v>
      </c>
      <c r="R13" s="2">
        <f>K13*Q13</f>
        <v>5292</v>
      </c>
      <c r="S13" s="2">
        <f>K13-R13</f>
        <v>70308</v>
      </c>
      <c r="T13" s="2">
        <f>S13-M13</f>
        <v>-1692</v>
      </c>
      <c r="U13" s="4">
        <f>IFERROR(T13/S13,0)</f>
        <v>-0.024066</v>
      </c>
      <c r="V13" t="str" s="3">
        <f>IF(T13&lt;0,"RUGI SETELAH FEE","OK")</f>
        <v>RUGI SETELAH FEE</v>
      </c>
    </row>
    <row r="14">
      <c r="A14" s="8">
        <v>13</v>
      </c>
      <c r="B14" s="5">
        <v>46270</v>
      </c>
      <c r="C14" s="8" t="s">
        <v>88</v>
      </c>
      <c r="D14" s="3" t="s">
        <v>101</v>
      </c>
      <c r="E14" s="3" t="s">
        <v>23</v>
      </c>
      <c r="F14" t="str" s="3">
        <f>VLOOKUP(E14,'Master Inventory'!$B$2:$L$26,2,FALSE)</f>
        <v>Moisturizer Gel Cream 40g</v>
      </c>
      <c r="G14" s="2">
        <v>6</v>
      </c>
      <c r="H14" s="2">
        <v>78500</v>
      </c>
      <c r="I14" s="4">
        <v>0.15</v>
      </c>
      <c r="J14" s="2">
        <v>66700</v>
      </c>
      <c r="K14" s="2">
        <f>J14*G14</f>
        <v>400200</v>
      </c>
      <c r="L14" s="2">
        <f>VLOOKUP(E14,'Master Inventory'!$B$2:$L$26,5,FALSE)</f>
        <v>28000</v>
      </c>
      <c r="M14" s="2">
        <f>L14*G14</f>
        <v>168000</v>
      </c>
      <c r="N14" s="2">
        <f>K14-M14</f>
        <v>232200</v>
      </c>
      <c r="O14" s="4">
        <f>IFERROR(N14/K14,0)</f>
        <v>0.58021</v>
      </c>
      <c r="P14" t="str" s="3">
        <f>IF(J14&lt;L14,"BELOW COGS","OK")</f>
        <v>OK</v>
      </c>
      <c r="Q14" s="4">
        <v>0.07</v>
      </c>
      <c r="R14" s="2">
        <f>K14*Q14</f>
        <v>28014</v>
      </c>
      <c r="S14" s="2">
        <f>K14-R14</f>
        <v>372186</v>
      </c>
      <c r="T14" s="2">
        <f>S14-M14</f>
        <v>204186</v>
      </c>
      <c r="U14" s="4">
        <f>IFERROR(T14/S14,0)</f>
        <v>0.548613</v>
      </c>
      <c r="V14" t="str" s="3">
        <f>IF(T14&lt;0,"RUGI SETELAH FEE","OK")</f>
        <v>OK</v>
      </c>
    </row>
    <row r="15">
      <c r="A15" s="8">
        <v>14</v>
      </c>
      <c r="B15" s="5">
        <v>46271</v>
      </c>
      <c r="C15" s="8" t="s">
        <v>88</v>
      </c>
      <c r="D15" s="3" t="s">
        <v>102</v>
      </c>
      <c r="E15" s="3" t="s">
        <v>43</v>
      </c>
      <c r="F15" t="str" s="3">
        <f>VLOOKUP(E15,'Master Inventory'!$B$2:$L$26,2,FALSE)</f>
        <v>Mascara Volume &amp; Curl</v>
      </c>
      <c r="G15" s="2">
        <v>4</v>
      </c>
      <c r="H15" s="2">
        <v>59000</v>
      </c>
      <c r="I15" s="4">
        <v>0.07</v>
      </c>
      <c r="J15" s="2">
        <v>54900</v>
      </c>
      <c r="K15" s="2">
        <f>J15*G15</f>
        <v>219600</v>
      </c>
      <c r="L15" s="2">
        <f>VLOOKUP(E15,'Master Inventory'!$B$2:$L$26,5,FALSE)</f>
        <v>18000</v>
      </c>
      <c r="M15" s="2">
        <f>L15*G15</f>
        <v>72000</v>
      </c>
      <c r="N15" s="2">
        <f>K15-M15</f>
        <v>147600</v>
      </c>
      <c r="O15" s="4">
        <f>IFERROR(N15/K15,0)</f>
        <v>0.672131</v>
      </c>
      <c r="P15" t="str" s="3">
        <f>IF(J15&lt;L15,"BELOW COGS","OK")</f>
        <v>OK</v>
      </c>
      <c r="Q15" s="4">
        <v>0.07</v>
      </c>
      <c r="R15" s="2">
        <f>K15*Q15</f>
        <v>15372</v>
      </c>
      <c r="S15" s="2">
        <f>K15-R15</f>
        <v>204228</v>
      </c>
      <c r="T15" s="2">
        <f>S15-M15</f>
        <v>132228</v>
      </c>
      <c r="U15" s="4">
        <f>IFERROR(T15/S15,0)</f>
        <v>0.647453</v>
      </c>
      <c r="V15" t="str" s="3">
        <f>IF(T15&lt;0,"RUGI SETELAH FEE","OK")</f>
        <v>OK</v>
      </c>
    </row>
    <row r="16">
      <c r="A16" s="8">
        <v>15</v>
      </c>
      <c r="B16" s="5">
        <v>46271</v>
      </c>
      <c r="C16" s="8" t="s">
        <v>88</v>
      </c>
      <c r="D16" s="3" t="s">
        <v>103</v>
      </c>
      <c r="E16" s="3" t="s">
        <v>41</v>
      </c>
      <c r="F16" t="str" s="3">
        <f>VLOOKUP(E16,'Master Inventory'!$B$2:$L$26,2,FALSE)</f>
        <v>Eyebrow Pencil Waterproof</v>
      </c>
      <c r="G16" s="2">
        <v>1</v>
      </c>
      <c r="H16" s="2">
        <v>38500</v>
      </c>
      <c r="I16" s="4">
        <v>0.73</v>
      </c>
      <c r="J16" s="2">
        <v>10400</v>
      </c>
      <c r="K16" s="2">
        <f>J16*G16</f>
        <v>10400</v>
      </c>
      <c r="L16" s="2">
        <f>VLOOKUP(E16,'Master Inventory'!$B$2:$L$26,5,FALSE)</f>
        <v>10000</v>
      </c>
      <c r="M16" s="2">
        <f>L16*G16</f>
        <v>10000</v>
      </c>
      <c r="N16" s="2">
        <f>K16-M16</f>
        <v>400</v>
      </c>
      <c r="O16" s="4">
        <f>IFERROR(N16/K16,0)</f>
        <v>0.038462</v>
      </c>
      <c r="P16" t="str" s="3">
        <f>IF(J16&lt;L16,"BELOW COGS","OK")</f>
        <v>OK</v>
      </c>
      <c r="Q16" s="4">
        <v>0.07</v>
      </c>
      <c r="R16" s="2">
        <f>K16*Q16</f>
        <v>728</v>
      </c>
      <c r="S16" s="2">
        <f>K16-R16</f>
        <v>9672</v>
      </c>
      <c r="T16" s="2">
        <f>S16-M16</f>
        <v>-328</v>
      </c>
      <c r="U16" s="4">
        <f>IFERROR(T16/S16,0)</f>
        <v>-0.033912</v>
      </c>
      <c r="V16" t="str" s="3">
        <f>IF(T16&lt;0,"RUGI SETELAH FEE","OK")</f>
        <v>RUGI SETELAH FEE</v>
      </c>
    </row>
    <row r="17">
      <c r="A17" s="8">
        <v>16</v>
      </c>
      <c r="B17" s="5">
        <v>46271</v>
      </c>
      <c r="C17" s="8" t="s">
        <v>88</v>
      </c>
      <c r="D17" s="3" t="s">
        <v>104</v>
      </c>
      <c r="E17" s="3" t="s">
        <v>19</v>
      </c>
      <c r="F17" t="str" s="3">
        <f>VLOOKUP(E17,'Master Inventory'!$B$2:$L$26,2,FALSE)</f>
        <v>Serum Vitamin C 20ml</v>
      </c>
      <c r="G17" s="2">
        <v>5</v>
      </c>
      <c r="H17" s="2">
        <v>90500</v>
      </c>
      <c r="I17" s="4">
        <v>0.03</v>
      </c>
      <c r="J17" s="2">
        <v>87800</v>
      </c>
      <c r="K17" s="2">
        <f>J17*G17</f>
        <v>439000</v>
      </c>
      <c r="L17" s="2">
        <f>VLOOKUP(E17,'Master Inventory'!$B$2:$L$26,5,FALSE)</f>
        <v>35000</v>
      </c>
      <c r="M17" s="2">
        <f>L17*G17</f>
        <v>175000</v>
      </c>
      <c r="N17" s="2">
        <f>K17-M17</f>
        <v>264000</v>
      </c>
      <c r="O17" s="4">
        <f>IFERROR(N17/K17,0)</f>
        <v>0.601367</v>
      </c>
      <c r="P17" t="str" s="3">
        <f>IF(J17&lt;L17,"BELOW COGS","OK")</f>
        <v>OK</v>
      </c>
      <c r="Q17" s="4">
        <v>0.07</v>
      </c>
      <c r="R17" s="2">
        <f>K17*Q17</f>
        <v>30730</v>
      </c>
      <c r="S17" s="2">
        <f>K17-R17</f>
        <v>408270</v>
      </c>
      <c r="T17" s="2">
        <f>S17-M17</f>
        <v>233270</v>
      </c>
      <c r="U17" s="4">
        <f>IFERROR(T17/S17,0)</f>
        <v>0.571362</v>
      </c>
      <c r="V17" t="str" s="3">
        <f>IF(T17&lt;0,"RUGI SETELAH FEE","OK")</f>
        <v>OK</v>
      </c>
    </row>
    <row r="18">
      <c r="A18" s="8">
        <v>17</v>
      </c>
      <c r="B18" s="5">
        <v>46272</v>
      </c>
      <c r="C18" s="8" t="s">
        <v>88</v>
      </c>
      <c r="D18" s="3" t="s">
        <v>105</v>
      </c>
      <c r="E18" s="3" t="s">
        <v>21</v>
      </c>
      <c r="F18" t="str" s="3">
        <f>VLOOKUP(E18,'Master Inventory'!$B$2:$L$26,2,FALSE)</f>
        <v>Serum Niacinamide 10% 20ml</v>
      </c>
      <c r="G18" s="2">
        <v>1</v>
      </c>
      <c r="H18" s="2">
        <v>92000</v>
      </c>
      <c r="I18" s="4">
        <v>0.64</v>
      </c>
      <c r="J18" s="2">
        <v>33100</v>
      </c>
      <c r="K18" s="2">
        <f>J18*G18</f>
        <v>33100</v>
      </c>
      <c r="L18" s="2">
        <f>VLOOKUP(E18,'Master Inventory'!$B$2:$L$26,5,FALSE)</f>
        <v>32000</v>
      </c>
      <c r="M18" s="2">
        <f>L18*G18</f>
        <v>32000</v>
      </c>
      <c r="N18" s="2">
        <f>K18-M18</f>
        <v>1100</v>
      </c>
      <c r="O18" s="4">
        <f>IFERROR(N18/K18,0)</f>
        <v>0.033233</v>
      </c>
      <c r="P18" t="str" s="3">
        <f>IF(J18&lt;L18,"BELOW COGS","OK")</f>
        <v>OK</v>
      </c>
      <c r="Q18" s="4">
        <v>0.07</v>
      </c>
      <c r="R18" s="2">
        <f>K18*Q18</f>
        <v>2317</v>
      </c>
      <c r="S18" s="2">
        <f>K18-R18</f>
        <v>30783</v>
      </c>
      <c r="T18" s="2">
        <f>S18-M18</f>
        <v>-1217</v>
      </c>
      <c r="U18" s="4">
        <f>IFERROR(T18/S18,0)</f>
        <v>-0.039535</v>
      </c>
      <c r="V18" t="str" s="3">
        <f>IF(T18&lt;0,"RUGI SETELAH FEE","OK")</f>
        <v>RUGI SETELAH FEE</v>
      </c>
    </row>
    <row r="19">
      <c r="A19" s="8">
        <v>18</v>
      </c>
      <c r="B19" s="5">
        <v>46272</v>
      </c>
      <c r="C19" s="8" t="s">
        <v>88</v>
      </c>
      <c r="D19" s="3" t="s">
        <v>106</v>
      </c>
      <c r="E19" s="3" t="s">
        <v>63</v>
      </c>
      <c r="F19" t="str" s="3">
        <f>VLOOKUP(E19,'Master Inventory'!$B$2:$L$26,2,FALSE)</f>
        <v>Body Mist Fresh Bloom 100ml</v>
      </c>
      <c r="G19" s="2">
        <v>3</v>
      </c>
      <c r="H19" s="2">
        <v>51500</v>
      </c>
      <c r="I19" s="4">
        <v>0.15</v>
      </c>
      <c r="J19" s="2">
        <v>43800</v>
      </c>
      <c r="K19" s="2">
        <f>J19*G19</f>
        <v>131400</v>
      </c>
      <c r="L19" s="2">
        <f>VLOOKUP(E19,'Master Inventory'!$B$2:$L$26,5,FALSE)</f>
        <v>19000</v>
      </c>
      <c r="M19" s="2">
        <f>L19*G19</f>
        <v>57000</v>
      </c>
      <c r="N19" s="2">
        <f>K19-M19</f>
        <v>74400</v>
      </c>
      <c r="O19" s="4">
        <f>IFERROR(N19/K19,0)</f>
        <v>0.56621</v>
      </c>
      <c r="P19" t="str" s="3">
        <f>IF(J19&lt;L19,"BELOW COGS","OK")</f>
        <v>OK</v>
      </c>
      <c r="Q19" s="4">
        <v>0.07</v>
      </c>
      <c r="R19" s="2">
        <f>K19*Q19</f>
        <v>9198</v>
      </c>
      <c r="S19" s="2">
        <f>K19-R19</f>
        <v>122202</v>
      </c>
      <c r="T19" s="2">
        <f>S19-M19</f>
        <v>65202</v>
      </c>
      <c r="U19" s="4">
        <f>IFERROR(T19/S19,0)</f>
        <v>0.533559</v>
      </c>
      <c r="V19" t="str" s="3">
        <f>IF(T19&lt;0,"RUGI SETELAH FEE","OK")</f>
        <v>OK</v>
      </c>
    </row>
    <row r="20">
      <c r="A20" s="8">
        <v>19</v>
      </c>
      <c r="B20" s="5">
        <v>46272</v>
      </c>
      <c r="C20" s="8" t="s">
        <v>88</v>
      </c>
      <c r="D20" s="3" t="s">
        <v>107</v>
      </c>
      <c r="E20" s="3" t="s">
        <v>45</v>
      </c>
      <c r="F20" t="str" s="3">
        <f>VLOOKUP(E20,'Master Inventory'!$B$2:$L$26,2,FALSE)</f>
        <v>Makeup Setting Spray 100ml</v>
      </c>
      <c r="G20" s="2">
        <v>3</v>
      </c>
      <c r="H20" s="2">
        <v>62500</v>
      </c>
      <c r="I20" s="4">
        <v>0.02</v>
      </c>
      <c r="J20" s="2">
        <v>61200</v>
      </c>
      <c r="K20" s="2">
        <f>J20*G20</f>
        <v>183600</v>
      </c>
      <c r="L20" s="2">
        <f>VLOOKUP(E20,'Master Inventory'!$B$2:$L$26,5,FALSE)</f>
        <v>22000</v>
      </c>
      <c r="M20" s="2">
        <f>L20*G20</f>
        <v>66000</v>
      </c>
      <c r="N20" s="2">
        <f>K20-M20</f>
        <v>117600</v>
      </c>
      <c r="O20" s="4">
        <f>IFERROR(N20/K20,0)</f>
        <v>0.640523</v>
      </c>
      <c r="P20" t="str" s="3">
        <f>IF(J20&lt;L20,"BELOW COGS","OK")</f>
        <v>OK</v>
      </c>
      <c r="Q20" s="4">
        <v>0.07</v>
      </c>
      <c r="R20" s="2">
        <f>K20*Q20</f>
        <v>12852</v>
      </c>
      <c r="S20" s="2">
        <f>K20-R20</f>
        <v>170748</v>
      </c>
      <c r="T20" s="2">
        <f>S20-M20</f>
        <v>104748</v>
      </c>
      <c r="U20" s="4">
        <f>IFERROR(T20/S20,0)</f>
        <v>0.613465</v>
      </c>
      <c r="V20" t="str" s="3">
        <f>IF(T20&lt;0,"RUGI SETELAH FEE","OK")</f>
        <v>OK</v>
      </c>
    </row>
    <row r="21">
      <c r="A21" s="8">
        <v>20</v>
      </c>
      <c r="B21" s="5">
        <v>46273</v>
      </c>
      <c r="C21" s="8" t="s">
        <v>88</v>
      </c>
      <c r="D21" s="3" t="s">
        <v>108</v>
      </c>
      <c r="E21" s="3" t="s">
        <v>26</v>
      </c>
      <c r="F21" t="str" s="3">
        <f>VLOOKUP(E21,'Master Inventory'!$B$2:$L$26,2,FALSE)</f>
        <v>Sunscreen SPF50 PA+++ 40ml</v>
      </c>
      <c r="G21" s="2">
        <v>4</v>
      </c>
      <c r="H21" s="2">
        <v>83000</v>
      </c>
      <c r="I21" s="4">
        <v>0.05</v>
      </c>
      <c r="J21" s="2">
        <v>78800</v>
      </c>
      <c r="K21" s="2">
        <f>J21*G21</f>
        <v>315200</v>
      </c>
      <c r="L21" s="2">
        <f>VLOOKUP(E21,'Master Inventory'!$B$2:$L$26,5,FALSE)</f>
        <v>30000</v>
      </c>
      <c r="M21" s="2">
        <f>L21*G21</f>
        <v>120000</v>
      </c>
      <c r="N21" s="2">
        <f>K21-M21</f>
        <v>195200</v>
      </c>
      <c r="O21" s="4">
        <f>IFERROR(N21/K21,0)</f>
        <v>0.619289</v>
      </c>
      <c r="P21" t="str" s="3">
        <f>IF(J21&lt;L21,"BELOW COGS","OK")</f>
        <v>OK</v>
      </c>
      <c r="Q21" s="4">
        <v>0.07</v>
      </c>
      <c r="R21" s="2">
        <f>K21*Q21</f>
        <v>22064</v>
      </c>
      <c r="S21" s="2">
        <f>K21-R21</f>
        <v>293136</v>
      </c>
      <c r="T21" s="2">
        <f>S21-M21</f>
        <v>173136</v>
      </c>
      <c r="U21" s="4">
        <f>IFERROR(T21/S21,0)</f>
        <v>0.590634</v>
      </c>
      <c r="V21" t="str" s="3">
        <f>IF(T21&lt;0,"RUGI SETELAH FEE","OK")</f>
        <v>OK</v>
      </c>
    </row>
    <row r="22">
      <c r="A22" s="8">
        <v>21</v>
      </c>
      <c r="B22" s="5">
        <v>46273</v>
      </c>
      <c r="C22" s="8" t="s">
        <v>88</v>
      </c>
      <c r="D22" s="3" t="s">
        <v>109</v>
      </c>
      <c r="E22" s="3" t="s">
        <v>32</v>
      </c>
      <c r="F22" t="str" s="3">
        <f>VLOOKUP(E22,'Master Inventory'!$B$2:$L$26,2,FALSE)</f>
        <v>Lip Tint Velvet Matte</v>
      </c>
      <c r="G22" s="2">
        <v>6</v>
      </c>
      <c r="H22" s="2">
        <v>39000</v>
      </c>
      <c r="I22" s="4">
        <v>0.24</v>
      </c>
      <c r="J22" s="2">
        <v>29600</v>
      </c>
      <c r="K22" s="2">
        <f>J22*G22</f>
        <v>177600</v>
      </c>
      <c r="L22" s="2">
        <f>VLOOKUP(E22,'Master Inventory'!$B$2:$L$26,5,FALSE)</f>
        <v>14000</v>
      </c>
      <c r="M22" s="2">
        <f>L22*G22</f>
        <v>84000</v>
      </c>
      <c r="N22" s="2">
        <f>K22-M22</f>
        <v>93600</v>
      </c>
      <c r="O22" s="4">
        <f>IFERROR(N22/K22,0)</f>
        <v>0.527027</v>
      </c>
      <c r="P22" t="str" s="3">
        <f>IF(J22&lt;L22,"BELOW COGS","OK")</f>
        <v>OK</v>
      </c>
      <c r="Q22" s="4">
        <v>0.07</v>
      </c>
      <c r="R22" s="2">
        <f>K22*Q22</f>
        <v>12432</v>
      </c>
      <c r="S22" s="2">
        <f>K22-R22</f>
        <v>165168</v>
      </c>
      <c r="T22" s="2">
        <f>S22-M22</f>
        <v>81168</v>
      </c>
      <c r="U22" s="4">
        <f>IFERROR(T22/S22,0)</f>
        <v>0.491427</v>
      </c>
      <c r="V22" t="str" s="3">
        <f>IF(T22&lt;0,"RUGI SETELAH FEE","OK")</f>
        <v>OK</v>
      </c>
    </row>
    <row r="23">
      <c r="A23" s="8">
        <v>22</v>
      </c>
      <c r="B23" s="5">
        <v>46273</v>
      </c>
      <c r="C23" s="8" t="s">
        <v>88</v>
      </c>
      <c r="D23" s="3" t="s">
        <v>110</v>
      </c>
      <c r="E23" s="3" t="s">
        <v>26</v>
      </c>
      <c r="F23" t="str" s="3">
        <f>VLOOKUP(E23,'Master Inventory'!$B$2:$L$26,2,FALSE)</f>
        <v>Sunscreen SPF50 PA+++ 40ml</v>
      </c>
      <c r="G23" s="2">
        <v>2</v>
      </c>
      <c r="H23" s="2">
        <v>91500</v>
      </c>
      <c r="I23" s="4">
        <v>0.72</v>
      </c>
      <c r="J23" s="2">
        <v>25600</v>
      </c>
      <c r="K23" s="2">
        <f>J23*G23</f>
        <v>51200</v>
      </c>
      <c r="L23" s="2">
        <f>VLOOKUP(E23,'Master Inventory'!$B$2:$L$26,5,FALSE)</f>
        <v>30000</v>
      </c>
      <c r="M23" s="2">
        <f>L23*G23</f>
        <v>60000</v>
      </c>
      <c r="N23" s="2">
        <f>K23-M23</f>
        <v>-8800</v>
      </c>
      <c r="O23" s="4">
        <f>IFERROR(N23/K23,0)</f>
        <v>-0.171875</v>
      </c>
      <c r="P23" t="str" s="3">
        <f>IF(J23&lt;L23,"BELOW COGS","OK")</f>
        <v>BELOW COGS</v>
      </c>
      <c r="Q23" s="4">
        <v>0.07</v>
      </c>
      <c r="R23" s="2">
        <f>K23*Q23</f>
        <v>3584</v>
      </c>
      <c r="S23" s="2">
        <f>K23-R23</f>
        <v>47616</v>
      </c>
      <c r="T23" s="2">
        <f>S23-M23</f>
        <v>-12384</v>
      </c>
      <c r="U23" s="4">
        <f>IFERROR(T23/S23,0)</f>
        <v>-0.260081</v>
      </c>
      <c r="V23" t="str" s="3">
        <f>IF(T23&lt;0,"RUGI SETELAH FEE","OK")</f>
        <v>RUGI SETELAH FEE</v>
      </c>
    </row>
    <row r="24">
      <c r="A24" s="8">
        <v>23</v>
      </c>
      <c r="B24" s="5">
        <v>46273</v>
      </c>
      <c r="C24" s="8" t="s">
        <v>88</v>
      </c>
      <c r="D24" s="3" t="s">
        <v>111</v>
      </c>
      <c r="E24" s="3" t="s">
        <v>28</v>
      </c>
      <c r="F24" t="str" s="3">
        <f>VLOOKUP(E24,'Master Inventory'!$B$2:$L$26,2,FALSE)</f>
        <v>Eye Cream Anti Aging 15ml</v>
      </c>
      <c r="G24" s="2">
        <v>2</v>
      </c>
      <c r="H24" s="2">
        <v>95000</v>
      </c>
      <c r="I24" s="4">
        <v>0.66</v>
      </c>
      <c r="J24" s="2">
        <v>32300</v>
      </c>
      <c r="K24" s="2">
        <f>J24*G24</f>
        <v>64600</v>
      </c>
      <c r="L24" s="2">
        <f>VLOOKUP(E24,'Master Inventory'!$B$2:$L$26,5,FALSE)</f>
        <v>38000</v>
      </c>
      <c r="M24" s="2">
        <f>L24*G24</f>
        <v>76000</v>
      </c>
      <c r="N24" s="2">
        <f>K24-M24</f>
        <v>-11400</v>
      </c>
      <c r="O24" s="4">
        <f>IFERROR(N24/K24,0)</f>
        <v>-0.176471</v>
      </c>
      <c r="P24" t="str" s="3">
        <f>IF(J24&lt;L24,"BELOW COGS","OK")</f>
        <v>BELOW COGS</v>
      </c>
      <c r="Q24" s="4">
        <v>0.07</v>
      </c>
      <c r="R24" s="2">
        <f>K24*Q24</f>
        <v>4522</v>
      </c>
      <c r="S24" s="2">
        <f>K24-R24</f>
        <v>60078</v>
      </c>
      <c r="T24" s="2">
        <f>S24-M24</f>
        <v>-15922</v>
      </c>
      <c r="U24" s="4">
        <f>IFERROR(T24/S24,0)</f>
        <v>-0.265022</v>
      </c>
      <c r="V24" t="str" s="3">
        <f>IF(T24&lt;0,"RUGI SETELAH FEE","OK")</f>
        <v>RUGI SETELAH FEE</v>
      </c>
    </row>
    <row r="25">
      <c r="A25" s="8">
        <v>24</v>
      </c>
      <c r="B25" s="5">
        <v>46274</v>
      </c>
      <c r="C25" s="8" t="s">
        <v>88</v>
      </c>
      <c r="D25" s="3" t="s">
        <v>112</v>
      </c>
      <c r="E25" s="3" t="s">
        <v>65</v>
      </c>
      <c r="F25" t="str" s="3">
        <f>VLOOKUP(E25,'Master Inventory'!$B$2:$L$26,2,FALSE)</f>
        <v>Eau de Toilette 30ml</v>
      </c>
      <c r="G25" s="2">
        <v>5</v>
      </c>
      <c r="H25" s="2">
        <v>176500</v>
      </c>
      <c r="I25" s="4">
        <v>0.17</v>
      </c>
      <c r="J25" s="2">
        <v>146500</v>
      </c>
      <c r="K25" s="2">
        <f>J25*G25</f>
        <v>732500</v>
      </c>
      <c r="L25" s="2">
        <f>VLOOKUP(E25,'Master Inventory'!$B$2:$L$26,5,FALSE)</f>
        <v>55000</v>
      </c>
      <c r="M25" s="2">
        <f>L25*G25</f>
        <v>275000</v>
      </c>
      <c r="N25" s="2">
        <f>K25-M25</f>
        <v>457500</v>
      </c>
      <c r="O25" s="4">
        <f>IFERROR(N25/K25,0)</f>
        <v>0.624573</v>
      </c>
      <c r="P25" t="str" s="3">
        <f>IF(J25&lt;L25,"BELOW COGS","OK")</f>
        <v>OK</v>
      </c>
      <c r="Q25" s="4">
        <v>0.07</v>
      </c>
      <c r="R25" s="2">
        <f>K25*Q25</f>
        <v>51275</v>
      </c>
      <c r="S25" s="2">
        <f>K25-R25</f>
        <v>681225</v>
      </c>
      <c r="T25" s="2">
        <f>S25-M25</f>
        <v>406225</v>
      </c>
      <c r="U25" s="4">
        <f>IFERROR(T25/S25,0)</f>
        <v>0.596315</v>
      </c>
      <c r="V25" t="str" s="3">
        <f>IF(T25&lt;0,"RUGI SETELAH FEE","OK")</f>
        <v>OK</v>
      </c>
    </row>
    <row r="26">
      <c r="A26" s="8">
        <v>25</v>
      </c>
      <c r="B26" s="5">
        <v>46274</v>
      </c>
      <c r="C26" s="8" t="s">
        <v>88</v>
      </c>
      <c r="D26" s="3" t="s">
        <v>113</v>
      </c>
      <c r="E26" s="3" t="s">
        <v>21</v>
      </c>
      <c r="F26" t="str" s="3">
        <f>VLOOKUP(E26,'Master Inventory'!$B$2:$L$26,2,FALSE)</f>
        <v>Serum Niacinamide 10% 20ml</v>
      </c>
      <c r="G26" s="2">
        <v>1</v>
      </c>
      <c r="H26" s="2">
        <v>93500</v>
      </c>
      <c r="I26" s="4">
        <v>0.61</v>
      </c>
      <c r="J26" s="2">
        <v>36500</v>
      </c>
      <c r="K26" s="2">
        <f>J26*G26</f>
        <v>36500</v>
      </c>
      <c r="L26" s="2">
        <f>VLOOKUP(E26,'Master Inventory'!$B$2:$L$26,5,FALSE)</f>
        <v>32000</v>
      </c>
      <c r="M26" s="2">
        <f>L26*G26</f>
        <v>32000</v>
      </c>
      <c r="N26" s="2">
        <f>K26-M26</f>
        <v>4500</v>
      </c>
      <c r="O26" s="4">
        <f>IFERROR(N26/K26,0)</f>
        <v>0.123288</v>
      </c>
      <c r="P26" t="str" s="3">
        <f>IF(J26&lt;L26,"BELOW COGS","OK")</f>
        <v>OK</v>
      </c>
      <c r="Q26" s="4">
        <v>0.07</v>
      </c>
      <c r="R26" s="2">
        <f>K26*Q26</f>
        <v>2555</v>
      </c>
      <c r="S26" s="2">
        <f>K26-R26</f>
        <v>33945</v>
      </c>
      <c r="T26" s="2">
        <f>S26-M26</f>
        <v>1945</v>
      </c>
      <c r="U26" s="4">
        <f>IFERROR(T26/S26,0)</f>
        <v>0.057299</v>
      </c>
      <c r="V26" t="str" s="3">
        <f>IF(T26&lt;0,"RUGI SETELAH FEE","OK")</f>
        <v>OK</v>
      </c>
    </row>
    <row r="27">
      <c r="A27" s="8">
        <v>26</v>
      </c>
      <c r="B27" s="5">
        <v>46274</v>
      </c>
      <c r="C27" s="8" t="s">
        <v>88</v>
      </c>
      <c r="D27" s="3" t="s">
        <v>114</v>
      </c>
      <c r="E27" s="3" t="s">
        <v>17</v>
      </c>
      <c r="F27" t="str" s="3">
        <f>VLOOKUP(E27,'Master Inventory'!$B$2:$L$26,2,FALSE)</f>
        <v>Toner Hydrating Rose 150ml</v>
      </c>
      <c r="G27" s="2">
        <v>1</v>
      </c>
      <c r="H27" s="2">
        <v>60000</v>
      </c>
      <c r="I27" s="4">
        <v>0.73</v>
      </c>
      <c r="J27" s="2">
        <v>16200</v>
      </c>
      <c r="K27" s="2">
        <f>J27*G27</f>
        <v>16200</v>
      </c>
      <c r="L27" s="2">
        <f>VLOOKUP(E27,'Master Inventory'!$B$2:$L$26,5,FALSE)</f>
        <v>22000</v>
      </c>
      <c r="M27" s="2">
        <f>L27*G27</f>
        <v>22000</v>
      </c>
      <c r="N27" s="2">
        <f>K27-M27</f>
        <v>-5800</v>
      </c>
      <c r="O27" s="4">
        <f>IFERROR(N27/K27,0)</f>
        <v>-0.358025</v>
      </c>
      <c r="P27" t="str" s="3">
        <f>IF(J27&lt;L27,"BELOW COGS","OK")</f>
        <v>BELOW COGS</v>
      </c>
      <c r="Q27" s="4">
        <v>0.07</v>
      </c>
      <c r="R27" s="2">
        <f>K27*Q27</f>
        <v>1134</v>
      </c>
      <c r="S27" s="2">
        <f>K27-R27</f>
        <v>15066</v>
      </c>
      <c r="T27" s="2">
        <f>S27-M27</f>
        <v>-6934</v>
      </c>
      <c r="U27" s="4">
        <f>IFERROR(T27/S27,0)</f>
        <v>-0.460242</v>
      </c>
      <c r="V27" t="str" s="3">
        <f>IF(T27&lt;0,"RUGI SETELAH FEE","OK")</f>
        <v>RUGI SETELAH FEE</v>
      </c>
    </row>
    <row r="28">
      <c r="A28" s="8">
        <v>27</v>
      </c>
      <c r="B28" s="5">
        <v>46274</v>
      </c>
      <c r="C28" s="8" t="s">
        <v>88</v>
      </c>
      <c r="D28" s="3" t="s">
        <v>115</v>
      </c>
      <c r="E28" s="3" t="s">
        <v>68</v>
      </c>
      <c r="F28" t="str" s="3">
        <f>VLOOKUP(E28,'Master Inventory'!$B$2:$L$26,2,FALSE)</f>
        <v>Eau de Parfum 50ml</v>
      </c>
      <c r="G28" s="2">
        <v>2</v>
      </c>
      <c r="H28" s="2">
        <v>276500</v>
      </c>
      <c r="I28" s="4">
        <v>0.73</v>
      </c>
      <c r="J28" s="2">
        <v>74700</v>
      </c>
      <c r="K28" s="2">
        <f>J28*G28</f>
        <v>149400</v>
      </c>
      <c r="L28" s="2">
        <f>VLOOKUP(E28,'Master Inventory'!$B$2:$L$26,5,FALSE)</f>
        <v>85000</v>
      </c>
      <c r="M28" s="2">
        <f>L28*G28</f>
        <v>170000</v>
      </c>
      <c r="N28" s="2">
        <f>K28-M28</f>
        <v>-20600</v>
      </c>
      <c r="O28" s="4">
        <f>IFERROR(N28/K28,0)</f>
        <v>-0.137885</v>
      </c>
      <c r="P28" t="str" s="3">
        <f>IF(J28&lt;L28,"BELOW COGS","OK")</f>
        <v>BELOW COGS</v>
      </c>
      <c r="Q28" s="4">
        <v>0.07</v>
      </c>
      <c r="R28" s="2">
        <f>K28*Q28</f>
        <v>10458</v>
      </c>
      <c r="S28" s="2">
        <f>K28-R28</f>
        <v>138942</v>
      </c>
      <c r="T28" s="2">
        <f>S28-M28</f>
        <v>-31058</v>
      </c>
      <c r="U28" s="4">
        <f>IFERROR(T28/S28,0)</f>
        <v>-0.223532</v>
      </c>
      <c r="V28" t="str" s="3">
        <f>IF(T28&lt;0,"RUGI SETELAH FEE","OK")</f>
        <v>RUGI SETELAH FEE</v>
      </c>
    </row>
    <row r="29">
      <c r="A29" s="8">
        <v>28</v>
      </c>
      <c r="B29" s="5">
        <v>46274</v>
      </c>
      <c r="C29" s="8" t="s">
        <v>88</v>
      </c>
      <c r="D29" s="3" t="s">
        <v>116</v>
      </c>
      <c r="E29" s="3" t="s">
        <v>37</v>
      </c>
      <c r="F29" t="str" s="3">
        <f>VLOOKUP(E29,'Master Inventory'!$B$2:$L$26,2,FALSE)</f>
        <v>Cushion Foundation SPF35</v>
      </c>
      <c r="G29" s="2">
        <v>3</v>
      </c>
      <c r="H29" s="2">
        <v>145500</v>
      </c>
      <c r="I29" s="4">
        <v>0.58</v>
      </c>
      <c r="J29" s="2">
        <v>61100</v>
      </c>
      <c r="K29" s="2">
        <f>J29*G29</f>
        <v>183300</v>
      </c>
      <c r="L29" s="2">
        <f>VLOOKUP(E29,'Master Inventory'!$B$2:$L$26,5,FALSE)</f>
        <v>45000</v>
      </c>
      <c r="M29" s="2">
        <f>L29*G29</f>
        <v>135000</v>
      </c>
      <c r="N29" s="2">
        <f>K29-M29</f>
        <v>48300</v>
      </c>
      <c r="O29" s="4">
        <f>IFERROR(N29/K29,0)</f>
        <v>0.263502</v>
      </c>
      <c r="P29" t="str" s="3">
        <f>IF(J29&lt;L29,"BELOW COGS","OK")</f>
        <v>OK</v>
      </c>
      <c r="Q29" s="4">
        <v>0.07</v>
      </c>
      <c r="R29" s="2">
        <f>K29*Q29</f>
        <v>12831</v>
      </c>
      <c r="S29" s="2">
        <f>K29-R29</f>
        <v>170469</v>
      </c>
      <c r="T29" s="2">
        <f>S29-M29</f>
        <v>35469</v>
      </c>
      <c r="U29" s="4">
        <f>IFERROR(T29/S29,0)</f>
        <v>0.208067</v>
      </c>
      <c r="V29" t="str" s="3">
        <f>IF(T29&lt;0,"RUGI SETELAH FEE","OK")</f>
        <v>OK</v>
      </c>
    </row>
    <row r="30">
      <c r="A30" s="8">
        <v>29</v>
      </c>
      <c r="B30" s="5">
        <v>46275</v>
      </c>
      <c r="C30" s="8" t="s">
        <v>88</v>
      </c>
      <c r="D30" s="3" t="s">
        <v>117</v>
      </c>
      <c r="E30" s="3" t="s">
        <v>19</v>
      </c>
      <c r="F30" t="str" s="3">
        <f>VLOOKUP(E30,'Master Inventory'!$B$2:$L$26,2,FALSE)</f>
        <v>Serum Vitamin C 20ml</v>
      </c>
      <c r="G30" s="2">
        <v>2</v>
      </c>
      <c r="H30" s="2">
        <v>106500</v>
      </c>
      <c r="I30" s="4">
        <v>0.19</v>
      </c>
      <c r="J30" s="2">
        <v>86300</v>
      </c>
      <c r="K30" s="2">
        <f>J30*G30</f>
        <v>172600</v>
      </c>
      <c r="L30" s="2">
        <f>VLOOKUP(E30,'Master Inventory'!$B$2:$L$26,5,FALSE)</f>
        <v>35000</v>
      </c>
      <c r="M30" s="2">
        <f>L30*G30</f>
        <v>70000</v>
      </c>
      <c r="N30" s="2">
        <f>K30-M30</f>
        <v>102600</v>
      </c>
      <c r="O30" s="4">
        <f>IFERROR(N30/K30,0)</f>
        <v>0.594438</v>
      </c>
      <c r="P30" t="str" s="3">
        <f>IF(J30&lt;L30,"BELOW COGS","OK")</f>
        <v>OK</v>
      </c>
      <c r="Q30" s="4">
        <v>0.07</v>
      </c>
      <c r="R30" s="2">
        <f>K30*Q30</f>
        <v>12082</v>
      </c>
      <c r="S30" s="2">
        <f>K30-R30</f>
        <v>160518</v>
      </c>
      <c r="T30" s="2">
        <f>S30-M30</f>
        <v>90518</v>
      </c>
      <c r="U30" s="4">
        <f>IFERROR(T30/S30,0)</f>
        <v>0.563912</v>
      </c>
      <c r="V30" t="str" s="3">
        <f>IF(T30&lt;0,"RUGI SETELAH FEE","OK")</f>
        <v>OK</v>
      </c>
    </row>
    <row r="31">
      <c r="A31" s="8">
        <v>30</v>
      </c>
      <c r="B31" s="5">
        <v>46275</v>
      </c>
      <c r="C31" s="8" t="s">
        <v>88</v>
      </c>
      <c r="D31" s="3" t="s">
        <v>118</v>
      </c>
      <c r="E31" s="3" t="s">
        <v>50</v>
      </c>
      <c r="F31" t="str" s="3">
        <f>VLOOKUP(E31,'Master Inventory'!$B$2:$L$26,2,FALSE)</f>
        <v>Shampoo Anti Hairfall 300ml</v>
      </c>
      <c r="G31" s="2">
        <v>3</v>
      </c>
      <c r="H31" s="2">
        <v>50500</v>
      </c>
      <c r="I31" s="4">
        <v>0.71</v>
      </c>
      <c r="J31" s="2">
        <v>14600</v>
      </c>
      <c r="K31" s="2">
        <f>J31*G31</f>
        <v>43800</v>
      </c>
      <c r="L31" s="2">
        <f>VLOOKUP(E31,'Master Inventory'!$B$2:$L$26,5,FALSE)</f>
        <v>18000</v>
      </c>
      <c r="M31" s="2">
        <f>L31*G31</f>
        <v>54000</v>
      </c>
      <c r="N31" s="2">
        <f>K31-M31</f>
        <v>-10200</v>
      </c>
      <c r="O31" s="4">
        <f>IFERROR(N31/K31,0)</f>
        <v>-0.232877</v>
      </c>
      <c r="P31" t="str" s="3">
        <f>IF(J31&lt;L31,"BELOW COGS","OK")</f>
        <v>BELOW COGS</v>
      </c>
      <c r="Q31" s="4">
        <v>0.07</v>
      </c>
      <c r="R31" s="2">
        <f>K31*Q31</f>
        <v>3066</v>
      </c>
      <c r="S31" s="2">
        <f>K31-R31</f>
        <v>40734</v>
      </c>
      <c r="T31" s="2">
        <f>S31-M31</f>
        <v>-13266</v>
      </c>
      <c r="U31" s="4">
        <f>IFERROR(T31/S31,0)</f>
        <v>-0.325674</v>
      </c>
      <c r="V31" t="str" s="3">
        <f>IF(T31&lt;0,"RUGI SETELAH FEE","OK")</f>
        <v>RUGI SETELAH FEE</v>
      </c>
    </row>
    <row r="32">
      <c r="A32" s="8">
        <v>31</v>
      </c>
      <c r="B32" s="5">
        <v>46275</v>
      </c>
      <c r="C32" s="8" t="s">
        <v>88</v>
      </c>
      <c r="D32" s="3" t="s">
        <v>119</v>
      </c>
      <c r="E32" s="3" t="s">
        <v>35</v>
      </c>
      <c r="F32" t="str" s="3">
        <f>VLOOKUP(E32,'Master Inventory'!$B$2:$L$26,2,FALSE)</f>
        <v>Lip Cream Matte Long Lasting</v>
      </c>
      <c r="G32" s="2">
        <v>2</v>
      </c>
      <c r="H32" s="2">
        <v>41500</v>
      </c>
      <c r="I32" s="4">
        <v>0.23</v>
      </c>
      <c r="J32" s="2">
        <v>32000</v>
      </c>
      <c r="K32" s="2">
        <f>J32*G32</f>
        <v>64000</v>
      </c>
      <c r="L32" s="2">
        <f>VLOOKUP(E32,'Master Inventory'!$B$2:$L$26,5,FALSE)</f>
        <v>15000</v>
      </c>
      <c r="M32" s="2">
        <f>L32*G32</f>
        <v>30000</v>
      </c>
      <c r="N32" s="2">
        <f>K32-M32</f>
        <v>34000</v>
      </c>
      <c r="O32" s="4">
        <f>IFERROR(N32/K32,0)</f>
        <v>0.53125</v>
      </c>
      <c r="P32" t="str" s="3">
        <f>IF(J32&lt;L32,"BELOW COGS","OK")</f>
        <v>OK</v>
      </c>
      <c r="Q32" s="4">
        <v>0.07</v>
      </c>
      <c r="R32" s="2">
        <f>K32*Q32</f>
        <v>4480</v>
      </c>
      <c r="S32" s="2">
        <f>K32-R32</f>
        <v>59520</v>
      </c>
      <c r="T32" s="2">
        <f>S32-M32</f>
        <v>29520</v>
      </c>
      <c r="U32" s="4">
        <f>IFERROR(T32/S32,0)</f>
        <v>0.495968</v>
      </c>
      <c r="V32" t="str" s="3">
        <f>IF(T32&lt;0,"RUGI SETELAH FEE","OK")</f>
        <v>OK</v>
      </c>
    </row>
    <row r="33">
      <c r="A33" s="8">
        <v>32</v>
      </c>
      <c r="B33" s="5">
        <v>46276</v>
      </c>
      <c r="C33" s="8" t="s">
        <v>88</v>
      </c>
      <c r="D33" s="3" t="s">
        <v>120</v>
      </c>
      <c r="E33" s="3" t="s">
        <v>21</v>
      </c>
      <c r="F33" t="str" s="3">
        <f>VLOOKUP(E33,'Master Inventory'!$B$2:$L$26,2,FALSE)</f>
        <v>Serum Niacinamide 10% 20ml</v>
      </c>
      <c r="G33" s="2">
        <v>3</v>
      </c>
      <c r="H33" s="2">
        <v>88000</v>
      </c>
      <c r="I33" s="4">
        <v>0.29</v>
      </c>
      <c r="J33" s="2">
        <v>62500</v>
      </c>
      <c r="K33" s="2">
        <f>J33*G33</f>
        <v>187500</v>
      </c>
      <c r="L33" s="2">
        <f>VLOOKUP(E33,'Master Inventory'!$B$2:$L$26,5,FALSE)</f>
        <v>32000</v>
      </c>
      <c r="M33" s="2">
        <f>L33*G33</f>
        <v>96000</v>
      </c>
      <c r="N33" s="2">
        <f>K33-M33</f>
        <v>91500</v>
      </c>
      <c r="O33" s="4">
        <f>IFERROR(N33/K33,0)</f>
        <v>0.488</v>
      </c>
      <c r="P33" t="str" s="3">
        <f>IF(J33&lt;L33,"BELOW COGS","OK")</f>
        <v>OK</v>
      </c>
      <c r="Q33" s="4">
        <v>0.07</v>
      </c>
      <c r="R33" s="2">
        <f>K33*Q33</f>
        <v>13125</v>
      </c>
      <c r="S33" s="2">
        <f>K33-R33</f>
        <v>174375</v>
      </c>
      <c r="T33" s="2">
        <f>S33-M33</f>
        <v>78375</v>
      </c>
      <c r="U33" s="4">
        <f>IFERROR(T33/S33,0)</f>
        <v>0.449462</v>
      </c>
      <c r="V33" t="str" s="3">
        <f>IF(T33&lt;0,"RUGI SETELAH FEE","OK")</f>
        <v>OK</v>
      </c>
    </row>
    <row r="34">
      <c r="A34" s="8">
        <v>33</v>
      </c>
      <c r="B34" s="5">
        <v>46276</v>
      </c>
      <c r="C34" s="8" t="s">
        <v>88</v>
      </c>
      <c r="D34" s="3" t="s">
        <v>121</v>
      </c>
      <c r="E34" s="3" t="s">
        <v>43</v>
      </c>
      <c r="F34" t="str" s="3">
        <f>VLOOKUP(E34,'Master Inventory'!$B$2:$L$26,2,FALSE)</f>
        <v>Mascara Volume &amp; Curl</v>
      </c>
      <c r="G34" s="2">
        <v>6</v>
      </c>
      <c r="H34" s="2">
        <v>63500</v>
      </c>
      <c r="I34" s="4">
        <v>0.02</v>
      </c>
      <c r="J34" s="2">
        <v>62200</v>
      </c>
      <c r="K34" s="2">
        <f>J34*G34</f>
        <v>373200</v>
      </c>
      <c r="L34" s="2">
        <f>VLOOKUP(E34,'Master Inventory'!$B$2:$L$26,5,FALSE)</f>
        <v>18000</v>
      </c>
      <c r="M34" s="2">
        <f>L34*G34</f>
        <v>108000</v>
      </c>
      <c r="N34" s="2">
        <f>K34-M34</f>
        <v>265200</v>
      </c>
      <c r="O34" s="4">
        <f>IFERROR(N34/K34,0)</f>
        <v>0.710611</v>
      </c>
      <c r="P34" t="str" s="3">
        <f>IF(J34&lt;L34,"BELOW COGS","OK")</f>
        <v>OK</v>
      </c>
      <c r="Q34" s="4">
        <v>0.07</v>
      </c>
      <c r="R34" s="2">
        <f>K34*Q34</f>
        <v>26124</v>
      </c>
      <c r="S34" s="2">
        <f>K34-R34</f>
        <v>347076</v>
      </c>
      <c r="T34" s="2">
        <f>S34-M34</f>
        <v>239076</v>
      </c>
      <c r="U34" s="4">
        <f>IFERROR(T34/S34,0)</f>
        <v>0.688829</v>
      </c>
      <c r="V34" t="str" s="3">
        <f>IF(T34&lt;0,"RUGI SETELAH FEE","OK")</f>
        <v>OK</v>
      </c>
    </row>
    <row r="35">
      <c r="A35" s="8">
        <v>34</v>
      </c>
      <c r="B35" s="5">
        <v>46277</v>
      </c>
      <c r="C35" s="8" t="s">
        <v>88</v>
      </c>
      <c r="D35" s="3" t="s">
        <v>122</v>
      </c>
      <c r="E35" s="3" t="s">
        <v>54</v>
      </c>
      <c r="F35" t="str" s="3">
        <f>VLOOKUP(E35,'Master Inventory'!$B$2:$L$26,2,FALSE)</f>
        <v>Hair Mist Perfume 100ml</v>
      </c>
      <c r="G35" s="2">
        <v>2</v>
      </c>
      <c r="H35" s="2">
        <v>61500</v>
      </c>
      <c r="I35" s="4">
        <v>0.6</v>
      </c>
      <c r="J35" s="2">
        <v>24600</v>
      </c>
      <c r="K35" s="2">
        <f>J35*G35</f>
        <v>49200</v>
      </c>
      <c r="L35" s="2">
        <f>VLOOKUP(E35,'Master Inventory'!$B$2:$L$26,5,FALSE)</f>
        <v>20000</v>
      </c>
      <c r="M35" s="2">
        <f>L35*G35</f>
        <v>40000</v>
      </c>
      <c r="N35" s="2">
        <f>K35-M35</f>
        <v>9200</v>
      </c>
      <c r="O35" s="4">
        <f>IFERROR(N35/K35,0)</f>
        <v>0.186992</v>
      </c>
      <c r="P35" t="str" s="3">
        <f>IF(J35&lt;L35,"BELOW COGS","OK")</f>
        <v>OK</v>
      </c>
      <c r="Q35" s="4">
        <v>0.07</v>
      </c>
      <c r="R35" s="2">
        <f>K35*Q35</f>
        <v>3444</v>
      </c>
      <c r="S35" s="2">
        <f>K35-R35</f>
        <v>45756</v>
      </c>
      <c r="T35" s="2">
        <f>S35-M35</f>
        <v>5756</v>
      </c>
      <c r="U35" s="4">
        <f>IFERROR(T35/S35,0)</f>
        <v>0.125798</v>
      </c>
      <c r="V35" t="str" s="3">
        <f>IF(T35&lt;0,"RUGI SETELAH FEE","OK")</f>
        <v>OK</v>
      </c>
    </row>
    <row r="36">
      <c r="A36" s="8">
        <v>35</v>
      </c>
      <c r="B36" s="5">
        <v>46277</v>
      </c>
      <c r="C36" s="8" t="s">
        <v>88</v>
      </c>
      <c r="D36" s="3" t="s">
        <v>123</v>
      </c>
      <c r="E36" s="3" t="s">
        <v>68</v>
      </c>
      <c r="F36" t="str" s="3">
        <f>VLOOKUP(E36,'Master Inventory'!$B$2:$L$26,2,FALSE)</f>
        <v>Eau de Parfum 50ml</v>
      </c>
      <c r="G36" s="2">
        <v>2</v>
      </c>
      <c r="H36" s="2">
        <v>261000</v>
      </c>
      <c r="I36" s="4">
        <v>0.04</v>
      </c>
      <c r="J36" s="2">
        <v>250600</v>
      </c>
      <c r="K36" s="2">
        <f>J36*G36</f>
        <v>501200</v>
      </c>
      <c r="L36" s="2">
        <f>VLOOKUP(E36,'Master Inventory'!$B$2:$L$26,5,FALSE)</f>
        <v>85000</v>
      </c>
      <c r="M36" s="2">
        <f>L36*G36</f>
        <v>170000</v>
      </c>
      <c r="N36" s="2">
        <f>K36-M36</f>
        <v>331200</v>
      </c>
      <c r="O36" s="4">
        <f>IFERROR(N36/K36,0)</f>
        <v>0.660814</v>
      </c>
      <c r="P36" t="str" s="3">
        <f>IF(J36&lt;L36,"BELOW COGS","OK")</f>
        <v>OK</v>
      </c>
      <c r="Q36" s="4">
        <v>0.07</v>
      </c>
      <c r="R36" s="2">
        <f>K36*Q36</f>
        <v>35084</v>
      </c>
      <c r="S36" s="2">
        <f>K36-R36</f>
        <v>466116</v>
      </c>
      <c r="T36" s="2">
        <f>S36-M36</f>
        <v>296116</v>
      </c>
      <c r="U36" s="4">
        <f>IFERROR(T36/S36,0)</f>
        <v>0.635284</v>
      </c>
      <c r="V36" t="str" s="3">
        <f>IF(T36&lt;0,"RUGI SETELAH FEE","OK")</f>
        <v>OK</v>
      </c>
    </row>
    <row r="37">
      <c r="A37" s="8">
        <v>36</v>
      </c>
      <c r="B37" s="5">
        <v>46278</v>
      </c>
      <c r="C37" s="8" t="s">
        <v>88</v>
      </c>
      <c r="D37" s="3" t="s">
        <v>124</v>
      </c>
      <c r="E37" s="3" t="s">
        <v>19</v>
      </c>
      <c r="F37" t="str" s="3">
        <f>VLOOKUP(E37,'Master Inventory'!$B$2:$L$26,2,FALSE)</f>
        <v>Serum Vitamin C 20ml</v>
      </c>
      <c r="G37" s="2">
        <v>5</v>
      </c>
      <c r="H37" s="2">
        <v>95000</v>
      </c>
      <c r="I37" s="4">
        <v>0.28</v>
      </c>
      <c r="J37" s="2">
        <v>68400</v>
      </c>
      <c r="K37" s="2">
        <f>J37*G37</f>
        <v>342000</v>
      </c>
      <c r="L37" s="2">
        <f>VLOOKUP(E37,'Master Inventory'!$B$2:$L$26,5,FALSE)</f>
        <v>35000</v>
      </c>
      <c r="M37" s="2">
        <f>L37*G37</f>
        <v>175000</v>
      </c>
      <c r="N37" s="2">
        <f>K37-M37</f>
        <v>167000</v>
      </c>
      <c r="O37" s="4">
        <f>IFERROR(N37/K37,0)</f>
        <v>0.488304</v>
      </c>
      <c r="P37" t="str" s="3">
        <f>IF(J37&lt;L37,"BELOW COGS","OK")</f>
        <v>OK</v>
      </c>
      <c r="Q37" s="4">
        <v>0.07</v>
      </c>
      <c r="R37" s="2">
        <f>K37*Q37</f>
        <v>23940</v>
      </c>
      <c r="S37" s="2">
        <f>K37-R37</f>
        <v>318060</v>
      </c>
      <c r="T37" s="2">
        <f>S37-M37</f>
        <v>143060</v>
      </c>
      <c r="U37" s="4">
        <f>IFERROR(T37/S37,0)</f>
        <v>0.449789</v>
      </c>
      <c r="V37" t="str" s="3">
        <f>IF(T37&lt;0,"RUGI SETELAH FEE","OK")</f>
        <v>OK</v>
      </c>
    </row>
    <row r="38">
      <c r="A38" s="8">
        <v>37</v>
      </c>
      <c r="B38" s="5">
        <v>46278</v>
      </c>
      <c r="C38" s="8" t="s">
        <v>88</v>
      </c>
      <c r="D38" s="3" t="s">
        <v>125</v>
      </c>
      <c r="E38" s="3" t="s">
        <v>65</v>
      </c>
      <c r="F38" t="str" s="3">
        <f>VLOOKUP(E38,'Master Inventory'!$B$2:$L$26,2,FALSE)</f>
        <v>Eau de Toilette 30ml</v>
      </c>
      <c r="G38" s="2">
        <v>3</v>
      </c>
      <c r="H38" s="2">
        <v>190000</v>
      </c>
      <c r="I38" s="4">
        <v>0.59</v>
      </c>
      <c r="J38" s="2">
        <v>77900</v>
      </c>
      <c r="K38" s="2">
        <f>J38*G38</f>
        <v>233700</v>
      </c>
      <c r="L38" s="2">
        <f>VLOOKUP(E38,'Master Inventory'!$B$2:$L$26,5,FALSE)</f>
        <v>55000</v>
      </c>
      <c r="M38" s="2">
        <f>L38*G38</f>
        <v>165000</v>
      </c>
      <c r="N38" s="2">
        <f>K38-M38</f>
        <v>68700</v>
      </c>
      <c r="O38" s="4">
        <f>IFERROR(N38/K38,0)</f>
        <v>0.293967</v>
      </c>
      <c r="P38" t="str" s="3">
        <f>IF(J38&lt;L38,"BELOW COGS","OK")</f>
        <v>OK</v>
      </c>
      <c r="Q38" s="4">
        <v>0.07</v>
      </c>
      <c r="R38" s="2">
        <f>K38*Q38</f>
        <v>16359</v>
      </c>
      <c r="S38" s="2">
        <f>K38-R38</f>
        <v>217341</v>
      </c>
      <c r="T38" s="2">
        <f>S38-M38</f>
        <v>52341</v>
      </c>
      <c r="U38" s="4">
        <f>IFERROR(T38/S38,0)</f>
        <v>0.240824</v>
      </c>
      <c r="V38" t="str" s="3">
        <f>IF(T38&lt;0,"RUGI SETELAH FEE","OK")</f>
        <v>OK</v>
      </c>
    </row>
    <row r="39">
      <c r="A39" s="8">
        <v>38</v>
      </c>
      <c r="B39" s="5">
        <v>46278</v>
      </c>
      <c r="C39" s="8" t="s">
        <v>88</v>
      </c>
      <c r="D39" s="3" t="s">
        <v>126</v>
      </c>
      <c r="E39" s="3" t="s">
        <v>63</v>
      </c>
      <c r="F39" t="str" s="3">
        <f>VLOOKUP(E39,'Master Inventory'!$B$2:$L$26,2,FALSE)</f>
        <v>Body Mist Fresh Bloom 100ml</v>
      </c>
      <c r="G39" s="2">
        <v>2</v>
      </c>
      <c r="H39" s="2">
        <v>57500</v>
      </c>
      <c r="I39" s="4">
        <v>0.64</v>
      </c>
      <c r="J39" s="2">
        <v>20700</v>
      </c>
      <c r="K39" s="2">
        <f>J39*G39</f>
        <v>41400</v>
      </c>
      <c r="L39" s="2">
        <f>VLOOKUP(E39,'Master Inventory'!$B$2:$L$26,5,FALSE)</f>
        <v>19000</v>
      </c>
      <c r="M39" s="2">
        <f>L39*G39</f>
        <v>38000</v>
      </c>
      <c r="N39" s="2">
        <f>K39-M39</f>
        <v>3400</v>
      </c>
      <c r="O39" s="4">
        <f>IFERROR(N39/K39,0)</f>
        <v>0.082126</v>
      </c>
      <c r="P39" t="str" s="3">
        <f>IF(J39&lt;L39,"BELOW COGS","OK")</f>
        <v>OK</v>
      </c>
      <c r="Q39" s="4">
        <v>0.07</v>
      </c>
      <c r="R39" s="2">
        <f>K39*Q39</f>
        <v>2898</v>
      </c>
      <c r="S39" s="2">
        <f>K39-R39</f>
        <v>38502</v>
      </c>
      <c r="T39" s="2">
        <f>S39-M39</f>
        <v>502</v>
      </c>
      <c r="U39" s="4">
        <f>IFERROR(T39/S39,0)</f>
        <v>0.013038</v>
      </c>
      <c r="V39" t="str" s="3">
        <f>IF(T39&lt;0,"RUGI SETELAH FEE","OK")</f>
        <v>OK</v>
      </c>
    </row>
    <row r="40">
      <c r="A40" s="8">
        <v>39</v>
      </c>
      <c r="B40" s="5">
        <v>46279</v>
      </c>
      <c r="C40" s="8" t="s">
        <v>88</v>
      </c>
      <c r="D40" s="3" t="s">
        <v>127</v>
      </c>
      <c r="E40" s="3" t="s">
        <v>23</v>
      </c>
      <c r="F40" t="str" s="3">
        <f>VLOOKUP(E40,'Master Inventory'!$B$2:$L$26,2,FALSE)</f>
        <v>Moisturizer Gel Cream 40g</v>
      </c>
      <c r="G40" s="2">
        <v>1</v>
      </c>
      <c r="H40" s="2">
        <v>76000</v>
      </c>
      <c r="I40" s="4">
        <v>0.06</v>
      </c>
      <c r="J40" s="2">
        <v>71400</v>
      </c>
      <c r="K40" s="2">
        <f>J40*G40</f>
        <v>71400</v>
      </c>
      <c r="L40" s="2">
        <f>VLOOKUP(E40,'Master Inventory'!$B$2:$L$26,5,FALSE)</f>
        <v>28000</v>
      </c>
      <c r="M40" s="2">
        <f>L40*G40</f>
        <v>28000</v>
      </c>
      <c r="N40" s="2">
        <f>K40-M40</f>
        <v>43400</v>
      </c>
      <c r="O40" s="4">
        <f>IFERROR(N40/K40,0)</f>
        <v>0.607843</v>
      </c>
      <c r="P40" t="str" s="3">
        <f>IF(J40&lt;L40,"BELOW COGS","OK")</f>
        <v>OK</v>
      </c>
      <c r="Q40" s="4">
        <v>0.07</v>
      </c>
      <c r="R40" s="2">
        <f>K40*Q40</f>
        <v>4998</v>
      </c>
      <c r="S40" s="2">
        <f>K40-R40</f>
        <v>66402</v>
      </c>
      <c r="T40" s="2">
        <f>S40-M40</f>
        <v>38402</v>
      </c>
      <c r="U40" s="4">
        <f>IFERROR(T40/S40,0)</f>
        <v>0.578326</v>
      </c>
      <c r="V40" t="str" s="3">
        <f>IF(T40&lt;0,"RUGI SETELAH FEE","OK")</f>
        <v>OK</v>
      </c>
    </row>
    <row r="41">
      <c r="A41" s="8">
        <v>40</v>
      </c>
      <c r="B41" s="5">
        <v>46279</v>
      </c>
      <c r="C41" s="8" t="s">
        <v>88</v>
      </c>
      <c r="D41" s="3" t="s">
        <v>128</v>
      </c>
      <c r="E41" s="3" t="s">
        <v>56</v>
      </c>
      <c r="F41" t="str" s="3">
        <f>VLOOKUP(E41,'Master Inventory'!$B$2:$L$26,2,FALSE)</f>
        <v>Hair Vitamin Ampoule (Box 6pcs)</v>
      </c>
      <c r="G41" s="2">
        <v>5</v>
      </c>
      <c r="H41" s="2">
        <v>66500</v>
      </c>
      <c r="I41" s="4">
        <v>0.02</v>
      </c>
      <c r="J41" s="2">
        <v>65200</v>
      </c>
      <c r="K41" s="2">
        <f>J41*G41</f>
        <v>326000</v>
      </c>
      <c r="L41" s="2">
        <f>VLOOKUP(E41,'Master Inventory'!$B$2:$L$26,5,FALSE)</f>
        <v>26000</v>
      </c>
      <c r="M41" s="2">
        <f>L41*G41</f>
        <v>130000</v>
      </c>
      <c r="N41" s="2">
        <f>K41-M41</f>
        <v>196000</v>
      </c>
      <c r="O41" s="4">
        <f>IFERROR(N41/K41,0)</f>
        <v>0.601227</v>
      </c>
      <c r="P41" t="str" s="3">
        <f>IF(J41&lt;L41,"BELOW COGS","OK")</f>
        <v>OK</v>
      </c>
      <c r="Q41" s="4">
        <v>0.07</v>
      </c>
      <c r="R41" s="2">
        <f>K41*Q41</f>
        <v>22820</v>
      </c>
      <c r="S41" s="2">
        <f>K41-R41</f>
        <v>303180</v>
      </c>
      <c r="T41" s="2">
        <f>S41-M41</f>
        <v>173180</v>
      </c>
      <c r="U41" s="4">
        <f>IFERROR(T41/S41,0)</f>
        <v>0.571212</v>
      </c>
      <c r="V41" t="str" s="3">
        <f>IF(T41&lt;0,"RUGI SETELAH FEE","OK")</f>
        <v>OK</v>
      </c>
    </row>
    <row r="42">
      <c r="A42" s="8">
        <v>41</v>
      </c>
      <c r="B42" s="5">
        <v>46280</v>
      </c>
      <c r="C42" s="8" t="s">
        <v>88</v>
      </c>
      <c r="D42" s="3" t="s">
        <v>129</v>
      </c>
      <c r="E42" s="3" t="s">
        <v>50</v>
      </c>
      <c r="F42" t="str" s="3">
        <f>VLOOKUP(E42,'Master Inventory'!$B$2:$L$26,2,FALSE)</f>
        <v>Shampoo Anti Hairfall 300ml</v>
      </c>
      <c r="G42" s="2">
        <v>3</v>
      </c>
      <c r="H42" s="2">
        <v>53500</v>
      </c>
      <c r="I42" s="4">
        <v>0.0</v>
      </c>
      <c r="J42" s="2">
        <v>53500</v>
      </c>
      <c r="K42" s="2">
        <f>J42*G42</f>
        <v>160500</v>
      </c>
      <c r="L42" s="2">
        <f>VLOOKUP(E42,'Master Inventory'!$B$2:$L$26,5,FALSE)</f>
        <v>18000</v>
      </c>
      <c r="M42" s="2">
        <f>L42*G42</f>
        <v>54000</v>
      </c>
      <c r="N42" s="2">
        <f>K42-M42</f>
        <v>106500</v>
      </c>
      <c r="O42" s="4">
        <f>IFERROR(N42/K42,0)</f>
        <v>0.663551</v>
      </c>
      <c r="P42" t="str" s="3">
        <f>IF(J42&lt;L42,"BELOW COGS","OK")</f>
        <v>OK</v>
      </c>
      <c r="Q42" s="4">
        <v>0.07</v>
      </c>
      <c r="R42" s="2">
        <f>K42*Q42</f>
        <v>11235</v>
      </c>
      <c r="S42" s="2">
        <f>K42-R42</f>
        <v>149265</v>
      </c>
      <c r="T42" s="2">
        <f>S42-M42</f>
        <v>95265</v>
      </c>
      <c r="U42" s="4">
        <f>IFERROR(T42/S42,0)</f>
        <v>0.638227</v>
      </c>
      <c r="V42" t="str" s="3">
        <f>IF(T42&lt;0,"RUGI SETELAH FEE","OK")</f>
        <v>OK</v>
      </c>
    </row>
    <row r="43">
      <c r="A43" s="8">
        <v>42</v>
      </c>
      <c r="B43" s="5">
        <v>46280</v>
      </c>
      <c r="C43" s="8" t="s">
        <v>88</v>
      </c>
      <c r="D43" s="3" t="s">
        <v>130</v>
      </c>
      <c r="E43" s="3" t="s">
        <v>50</v>
      </c>
      <c r="F43" t="str" s="3">
        <f>VLOOKUP(E43,'Master Inventory'!$B$2:$L$26,2,FALSE)</f>
        <v>Shampoo Anti Hairfall 300ml</v>
      </c>
      <c r="G43" s="2">
        <v>4</v>
      </c>
      <c r="H43" s="2">
        <v>45500</v>
      </c>
      <c r="I43" s="4">
        <v>0.63</v>
      </c>
      <c r="J43" s="2">
        <v>16800</v>
      </c>
      <c r="K43" s="2">
        <f>J43*G43</f>
        <v>67200</v>
      </c>
      <c r="L43" s="2">
        <f>VLOOKUP(E43,'Master Inventory'!$B$2:$L$26,5,FALSE)</f>
        <v>18000</v>
      </c>
      <c r="M43" s="2">
        <f>L43*G43</f>
        <v>72000</v>
      </c>
      <c r="N43" s="2">
        <f>K43-M43</f>
        <v>-4800</v>
      </c>
      <c r="O43" s="4">
        <f>IFERROR(N43/K43,0)</f>
        <v>-0.071429</v>
      </c>
      <c r="P43" t="str" s="3">
        <f>IF(J43&lt;L43,"BELOW COGS","OK")</f>
        <v>BELOW COGS</v>
      </c>
      <c r="Q43" s="4">
        <v>0.07</v>
      </c>
      <c r="R43" s="2">
        <f>K43*Q43</f>
        <v>4704</v>
      </c>
      <c r="S43" s="2">
        <f>K43-R43</f>
        <v>62496</v>
      </c>
      <c r="T43" s="2">
        <f>S43-M43</f>
        <v>-9504</v>
      </c>
      <c r="U43" s="4">
        <f>IFERROR(T43/S43,0)</f>
        <v>-0.152074</v>
      </c>
      <c r="V43" t="str" s="3">
        <f>IF(T43&lt;0,"RUGI SETELAH FEE","OK")</f>
        <v>RUGI SETELAH FEE</v>
      </c>
    </row>
    <row r="44">
      <c r="A44" s="8">
        <v>43</v>
      </c>
      <c r="B44" s="5">
        <v>46280</v>
      </c>
      <c r="C44" s="8" t="s">
        <v>88</v>
      </c>
      <c r="D44" s="3" t="s">
        <v>131</v>
      </c>
      <c r="E44" s="3" t="s">
        <v>35</v>
      </c>
      <c r="F44" t="str" s="3">
        <f>VLOOKUP(E44,'Master Inventory'!$B$2:$L$26,2,FALSE)</f>
        <v>Lip Cream Matte Long Lasting</v>
      </c>
      <c r="G44" s="2">
        <v>4</v>
      </c>
      <c r="H44" s="2">
        <v>43500</v>
      </c>
      <c r="I44" s="4">
        <v>0.06</v>
      </c>
      <c r="J44" s="2">
        <v>40900</v>
      </c>
      <c r="K44" s="2">
        <f>J44*G44</f>
        <v>163600</v>
      </c>
      <c r="L44" s="2">
        <f>VLOOKUP(E44,'Master Inventory'!$B$2:$L$26,5,FALSE)</f>
        <v>15000</v>
      </c>
      <c r="M44" s="2">
        <f>L44*G44</f>
        <v>60000</v>
      </c>
      <c r="N44" s="2">
        <f>K44-M44</f>
        <v>103600</v>
      </c>
      <c r="O44" s="4">
        <f>IFERROR(N44/K44,0)</f>
        <v>0.633252</v>
      </c>
      <c r="P44" t="str" s="3">
        <f>IF(J44&lt;L44,"BELOW COGS","OK")</f>
        <v>OK</v>
      </c>
      <c r="Q44" s="4">
        <v>0.07</v>
      </c>
      <c r="R44" s="2">
        <f>K44*Q44</f>
        <v>11452</v>
      </c>
      <c r="S44" s="2">
        <f>K44-R44</f>
        <v>152148</v>
      </c>
      <c r="T44" s="2">
        <f>S44-M44</f>
        <v>92148</v>
      </c>
      <c r="U44" s="4">
        <f>IFERROR(T44/S44,0)</f>
        <v>0.605647</v>
      </c>
      <c r="V44" t="str" s="3">
        <f>IF(T44&lt;0,"RUGI SETELAH FEE","OK")</f>
        <v>OK</v>
      </c>
    </row>
    <row r="45">
      <c r="A45" s="8">
        <v>44</v>
      </c>
      <c r="B45" s="5">
        <v>46280</v>
      </c>
      <c r="C45" s="8" t="s">
        <v>88</v>
      </c>
      <c r="D45" s="3" t="s">
        <v>132</v>
      </c>
      <c r="E45" s="3" t="s">
        <v>37</v>
      </c>
      <c r="F45" t="str" s="3">
        <f>VLOOKUP(E45,'Master Inventory'!$B$2:$L$26,2,FALSE)</f>
        <v>Cushion Foundation SPF35</v>
      </c>
      <c r="G45" s="2">
        <v>1</v>
      </c>
      <c r="H45" s="2">
        <v>122000</v>
      </c>
      <c r="I45" s="4">
        <v>0.21</v>
      </c>
      <c r="J45" s="2">
        <v>96400</v>
      </c>
      <c r="K45" s="2">
        <f>J45*G45</f>
        <v>96400</v>
      </c>
      <c r="L45" s="2">
        <f>VLOOKUP(E45,'Master Inventory'!$B$2:$L$26,5,FALSE)</f>
        <v>45000</v>
      </c>
      <c r="M45" s="2">
        <f>L45*G45</f>
        <v>45000</v>
      </c>
      <c r="N45" s="2">
        <f>K45-M45</f>
        <v>51400</v>
      </c>
      <c r="O45" s="4">
        <f>IFERROR(N45/K45,0)</f>
        <v>0.533195</v>
      </c>
      <c r="P45" t="str" s="3">
        <f>IF(J45&lt;L45,"BELOW COGS","OK")</f>
        <v>OK</v>
      </c>
      <c r="Q45" s="4">
        <v>0.07</v>
      </c>
      <c r="R45" s="2">
        <f>K45*Q45</f>
        <v>6748</v>
      </c>
      <c r="S45" s="2">
        <f>K45-R45</f>
        <v>89652</v>
      </c>
      <c r="T45" s="2">
        <f>S45-M45</f>
        <v>44652</v>
      </c>
      <c r="U45" s="4">
        <f>IFERROR(T45/S45,0)</f>
        <v>0.498059</v>
      </c>
      <c r="V45" t="str" s="3">
        <f>IF(T45&lt;0,"RUGI SETELAH FEE","OK")</f>
        <v>OK</v>
      </c>
    </row>
    <row r="46">
      <c r="A46" s="8">
        <v>45</v>
      </c>
      <c r="B46" s="5">
        <v>46280</v>
      </c>
      <c r="C46" s="8" t="s">
        <v>88</v>
      </c>
      <c r="D46" s="3" t="s">
        <v>133</v>
      </c>
      <c r="E46" s="3" t="s">
        <v>45</v>
      </c>
      <c r="F46" t="str" s="3">
        <f>VLOOKUP(E46,'Master Inventory'!$B$2:$L$26,2,FALSE)</f>
        <v>Makeup Setting Spray 100ml</v>
      </c>
      <c r="G46" s="2">
        <v>4</v>
      </c>
      <c r="H46" s="2">
        <v>67500</v>
      </c>
      <c r="I46" s="4">
        <v>0.26</v>
      </c>
      <c r="J46" s="2">
        <v>50000</v>
      </c>
      <c r="K46" s="2">
        <f>J46*G46</f>
        <v>200000</v>
      </c>
      <c r="L46" s="2">
        <f>VLOOKUP(E46,'Master Inventory'!$B$2:$L$26,5,FALSE)</f>
        <v>22000</v>
      </c>
      <c r="M46" s="2">
        <f>L46*G46</f>
        <v>88000</v>
      </c>
      <c r="N46" s="2">
        <f>K46-M46</f>
        <v>112000</v>
      </c>
      <c r="O46" s="4">
        <f>IFERROR(N46/K46,0)</f>
        <v>0.56</v>
      </c>
      <c r="P46" t="str" s="3">
        <f>IF(J46&lt;L46,"BELOW COGS","OK")</f>
        <v>OK</v>
      </c>
      <c r="Q46" s="4">
        <v>0.07</v>
      </c>
      <c r="R46" s="2">
        <f>K46*Q46</f>
        <v>14000</v>
      </c>
      <c r="S46" s="2">
        <f>K46-R46</f>
        <v>186000</v>
      </c>
      <c r="T46" s="2">
        <f>S46-M46</f>
        <v>98000</v>
      </c>
      <c r="U46" s="4">
        <f>IFERROR(T46/S46,0)</f>
        <v>0.526882</v>
      </c>
      <c r="V46" t="str" s="3">
        <f>IF(T46&lt;0,"RUGI SETELAH FEE","OK")</f>
        <v>OK</v>
      </c>
    </row>
    <row r="47">
      <c r="A47" s="8">
        <v>46</v>
      </c>
      <c r="B47" s="5">
        <v>46280</v>
      </c>
      <c r="C47" s="8" t="s">
        <v>88</v>
      </c>
      <c r="D47" s="3" t="s">
        <v>134</v>
      </c>
      <c r="E47" s="3" t="s">
        <v>23</v>
      </c>
      <c r="F47" t="str" s="3">
        <f>VLOOKUP(E47,'Master Inventory'!$B$2:$L$26,2,FALSE)</f>
        <v>Moisturizer Gel Cream 40g</v>
      </c>
      <c r="G47" s="2">
        <v>4</v>
      </c>
      <c r="H47" s="2">
        <v>81500</v>
      </c>
      <c r="I47" s="4">
        <v>0.05</v>
      </c>
      <c r="J47" s="2">
        <v>77400</v>
      </c>
      <c r="K47" s="2">
        <f>J47*G47</f>
        <v>309600</v>
      </c>
      <c r="L47" s="2">
        <f>VLOOKUP(E47,'Master Inventory'!$B$2:$L$26,5,FALSE)</f>
        <v>28000</v>
      </c>
      <c r="M47" s="2">
        <f>L47*G47</f>
        <v>112000</v>
      </c>
      <c r="N47" s="2">
        <f>K47-M47</f>
        <v>197600</v>
      </c>
      <c r="O47" s="4">
        <f>IFERROR(N47/K47,0)</f>
        <v>0.638243</v>
      </c>
      <c r="P47" t="str" s="3">
        <f>IF(J47&lt;L47,"BELOW COGS","OK")</f>
        <v>OK</v>
      </c>
      <c r="Q47" s="4">
        <v>0.07</v>
      </c>
      <c r="R47" s="2">
        <f>K47*Q47</f>
        <v>21672</v>
      </c>
      <c r="S47" s="2">
        <f>K47-R47</f>
        <v>287928</v>
      </c>
      <c r="T47" s="2">
        <f>S47-M47</f>
        <v>175928</v>
      </c>
      <c r="U47" s="4">
        <f>IFERROR(T47/S47,0)</f>
        <v>0.611014</v>
      </c>
      <c r="V47" t="str" s="3">
        <f>IF(T47&lt;0,"RUGI SETELAH FEE","OK")</f>
        <v>OK</v>
      </c>
    </row>
    <row r="48">
      <c r="A48" s="8">
        <v>47</v>
      </c>
      <c r="B48" s="5">
        <v>46281</v>
      </c>
      <c r="C48" s="8" t="s">
        <v>88</v>
      </c>
      <c r="D48" s="3" t="s">
        <v>135</v>
      </c>
      <c r="E48" s="3" t="s">
        <v>50</v>
      </c>
      <c r="F48" t="str" s="3">
        <f>VLOOKUP(E48,'Master Inventory'!$B$2:$L$26,2,FALSE)</f>
        <v>Shampoo Anti Hairfall 300ml</v>
      </c>
      <c r="G48" s="2">
        <v>5</v>
      </c>
      <c r="H48" s="2">
        <v>45500</v>
      </c>
      <c r="I48" s="4">
        <v>0.01</v>
      </c>
      <c r="J48" s="2">
        <v>45000</v>
      </c>
      <c r="K48" s="2">
        <f>J48*G48</f>
        <v>225000</v>
      </c>
      <c r="L48" s="2">
        <f>VLOOKUP(E48,'Master Inventory'!$B$2:$L$26,5,FALSE)</f>
        <v>18000</v>
      </c>
      <c r="M48" s="2">
        <f>L48*G48</f>
        <v>90000</v>
      </c>
      <c r="N48" s="2">
        <f>K48-M48</f>
        <v>135000</v>
      </c>
      <c r="O48" s="4">
        <f>IFERROR(N48/K48,0)</f>
        <v>0.6</v>
      </c>
      <c r="P48" t="str" s="3">
        <f>IF(J48&lt;L48,"BELOW COGS","OK")</f>
        <v>OK</v>
      </c>
      <c r="Q48" s="4">
        <v>0.07</v>
      </c>
      <c r="R48" s="2">
        <f>K48*Q48</f>
        <v>15750</v>
      </c>
      <c r="S48" s="2">
        <f>K48-R48</f>
        <v>209250</v>
      </c>
      <c r="T48" s="2">
        <f>S48-M48</f>
        <v>119250</v>
      </c>
      <c r="U48" s="4">
        <f>IFERROR(T48/S48,0)</f>
        <v>0.569892</v>
      </c>
      <c r="V48" t="str" s="3">
        <f>IF(T48&lt;0,"RUGI SETELAH FEE","OK")</f>
        <v>OK</v>
      </c>
    </row>
    <row r="49">
      <c r="A49" s="8">
        <v>48</v>
      </c>
      <c r="B49" s="5">
        <v>46281</v>
      </c>
      <c r="C49" s="8" t="s">
        <v>88</v>
      </c>
      <c r="D49" s="3" t="s">
        <v>136</v>
      </c>
      <c r="E49" s="3" t="s">
        <v>32</v>
      </c>
      <c r="F49" t="str" s="3">
        <f>VLOOKUP(E49,'Master Inventory'!$B$2:$L$26,2,FALSE)</f>
        <v>Lip Tint Velvet Matte</v>
      </c>
      <c r="G49" s="2">
        <v>1</v>
      </c>
      <c r="H49" s="2">
        <v>36000</v>
      </c>
      <c r="I49" s="4">
        <v>0.16</v>
      </c>
      <c r="J49" s="2">
        <v>30200</v>
      </c>
      <c r="K49" s="2">
        <f>J49*G49</f>
        <v>30200</v>
      </c>
      <c r="L49" s="2">
        <f>VLOOKUP(E49,'Master Inventory'!$B$2:$L$26,5,FALSE)</f>
        <v>14000</v>
      </c>
      <c r="M49" s="2">
        <f>L49*G49</f>
        <v>14000</v>
      </c>
      <c r="N49" s="2">
        <f>K49-M49</f>
        <v>16200</v>
      </c>
      <c r="O49" s="4">
        <f>IFERROR(N49/K49,0)</f>
        <v>0.536424</v>
      </c>
      <c r="P49" t="str" s="3">
        <f>IF(J49&lt;L49,"BELOW COGS","OK")</f>
        <v>OK</v>
      </c>
      <c r="Q49" s="4">
        <v>0.07</v>
      </c>
      <c r="R49" s="2">
        <f>K49*Q49</f>
        <v>2114</v>
      </c>
      <c r="S49" s="2">
        <f>K49-R49</f>
        <v>28086</v>
      </c>
      <c r="T49" s="2">
        <f>S49-M49</f>
        <v>14086</v>
      </c>
      <c r="U49" s="4">
        <f>IFERROR(T49/S49,0)</f>
        <v>0.501531</v>
      </c>
      <c r="V49" t="str" s="3">
        <f>IF(T49&lt;0,"RUGI SETELAH FEE","OK")</f>
        <v>OK</v>
      </c>
    </row>
    <row r="50">
      <c r="A50" s="8">
        <v>49</v>
      </c>
      <c r="B50" s="5">
        <v>46281</v>
      </c>
      <c r="C50" s="8" t="s">
        <v>88</v>
      </c>
      <c r="D50" s="3" t="s">
        <v>137</v>
      </c>
      <c r="E50" s="3" t="s">
        <v>58</v>
      </c>
      <c r="F50" t="str" s="3">
        <f>VLOOKUP(E50,'Master Inventory'!$B$2:$L$26,2,FALSE)</f>
        <v>Body Lotion Brightening 200ml</v>
      </c>
      <c r="G50" s="2">
        <v>2</v>
      </c>
      <c r="H50" s="2">
        <v>43000</v>
      </c>
      <c r="I50" s="4">
        <v>0.62</v>
      </c>
      <c r="J50" s="2">
        <v>16300</v>
      </c>
      <c r="K50" s="2">
        <f>J50*G50</f>
        <v>32600</v>
      </c>
      <c r="L50" s="2">
        <f>VLOOKUP(E50,'Master Inventory'!$B$2:$L$26,5,FALSE)</f>
        <v>16000</v>
      </c>
      <c r="M50" s="2">
        <f>L50*G50</f>
        <v>32000</v>
      </c>
      <c r="N50" s="2">
        <f>K50-M50</f>
        <v>600</v>
      </c>
      <c r="O50" s="4">
        <f>IFERROR(N50/K50,0)</f>
        <v>0.018405</v>
      </c>
      <c r="P50" t="str" s="3">
        <f>IF(J50&lt;L50,"BELOW COGS","OK")</f>
        <v>OK</v>
      </c>
      <c r="Q50" s="4">
        <v>0.07</v>
      </c>
      <c r="R50" s="2">
        <f>K50*Q50</f>
        <v>2282</v>
      </c>
      <c r="S50" s="2">
        <f>K50-R50</f>
        <v>30318</v>
      </c>
      <c r="T50" s="2">
        <f>S50-M50</f>
        <v>-1682</v>
      </c>
      <c r="U50" s="4">
        <f>IFERROR(T50/S50,0)</f>
        <v>-0.055479</v>
      </c>
      <c r="V50" t="str" s="3">
        <f>IF(T50&lt;0,"RUGI SETELAH FEE","OK")</f>
        <v>RUGI SETELAH FEE</v>
      </c>
    </row>
    <row r="51">
      <c r="A51" s="8">
        <v>50</v>
      </c>
      <c r="B51" s="5">
        <v>46283</v>
      </c>
      <c r="C51" s="8" t="s">
        <v>88</v>
      </c>
      <c r="D51" s="3" t="s">
        <v>138</v>
      </c>
      <c r="E51" s="3" t="s">
        <v>30</v>
      </c>
      <c r="F51" t="str" s="3">
        <f>VLOOKUP(E51,'Master Inventory'!$B$2:$L$26,2,FALSE)</f>
        <v>Sheet Mask Brightening (Box 5pcs)</v>
      </c>
      <c r="G51" s="2">
        <v>6</v>
      </c>
      <c r="H51" s="2">
        <v>53000</v>
      </c>
      <c r="I51" s="4">
        <v>0.0</v>
      </c>
      <c r="J51" s="2">
        <v>53000</v>
      </c>
      <c r="K51" s="2">
        <f>J51*G51</f>
        <v>318000</v>
      </c>
      <c r="L51" s="2">
        <f>VLOOKUP(E51,'Master Inventory'!$B$2:$L$26,5,FALSE)</f>
        <v>20000</v>
      </c>
      <c r="M51" s="2">
        <f>L51*G51</f>
        <v>120000</v>
      </c>
      <c r="N51" s="2">
        <f>K51-M51</f>
        <v>198000</v>
      </c>
      <c r="O51" s="4">
        <f>IFERROR(N51/K51,0)</f>
        <v>0.622642</v>
      </c>
      <c r="P51" t="str" s="3">
        <f>IF(J51&lt;L51,"BELOW COGS","OK")</f>
        <v>OK</v>
      </c>
      <c r="Q51" s="4">
        <v>0.07</v>
      </c>
      <c r="R51" s="2">
        <f>K51*Q51</f>
        <v>22260</v>
      </c>
      <c r="S51" s="2">
        <f>K51-R51</f>
        <v>295740</v>
      </c>
      <c r="T51" s="2">
        <f>S51-M51</f>
        <v>175740</v>
      </c>
      <c r="U51" s="4">
        <f>IFERROR(T51/S51,0)</f>
        <v>0.594238</v>
      </c>
      <c r="V51" t="str" s="3">
        <f>IF(T51&lt;0,"RUGI SETELAH FEE","OK")</f>
        <v>OK</v>
      </c>
    </row>
    <row r="52">
      <c r="A52" s="8">
        <v>51</v>
      </c>
      <c r="B52" s="5">
        <v>46283</v>
      </c>
      <c r="C52" s="8" t="s">
        <v>88</v>
      </c>
      <c r="D52" s="3" t="s">
        <v>139</v>
      </c>
      <c r="E52" s="3" t="s">
        <v>45</v>
      </c>
      <c r="F52" t="str" s="3">
        <f>VLOOKUP(E52,'Master Inventory'!$B$2:$L$26,2,FALSE)</f>
        <v>Makeup Setting Spray 100ml</v>
      </c>
      <c r="G52" s="2">
        <v>2</v>
      </c>
      <c r="H52" s="2">
        <v>64000</v>
      </c>
      <c r="I52" s="4">
        <v>0.61</v>
      </c>
      <c r="J52" s="2">
        <v>25000</v>
      </c>
      <c r="K52" s="2">
        <f>J52*G52</f>
        <v>50000</v>
      </c>
      <c r="L52" s="2">
        <f>VLOOKUP(E52,'Master Inventory'!$B$2:$L$26,5,FALSE)</f>
        <v>22000</v>
      </c>
      <c r="M52" s="2">
        <f>L52*G52</f>
        <v>44000</v>
      </c>
      <c r="N52" s="2">
        <f>K52-M52</f>
        <v>6000</v>
      </c>
      <c r="O52" s="4">
        <f>IFERROR(N52/K52,0)</f>
        <v>0.12</v>
      </c>
      <c r="P52" t="str" s="3">
        <f>IF(J52&lt;L52,"BELOW COGS","OK")</f>
        <v>OK</v>
      </c>
      <c r="Q52" s="4">
        <v>0.07</v>
      </c>
      <c r="R52" s="2">
        <f>K52*Q52</f>
        <v>3500</v>
      </c>
      <c r="S52" s="2">
        <f>K52-R52</f>
        <v>46500</v>
      </c>
      <c r="T52" s="2">
        <f>S52-M52</f>
        <v>2500</v>
      </c>
      <c r="U52" s="4">
        <f>IFERROR(T52/S52,0)</f>
        <v>0.053763</v>
      </c>
      <c r="V52" t="str" s="3">
        <f>IF(T52&lt;0,"RUGI SETELAH FEE","OK")</f>
        <v>OK</v>
      </c>
    </row>
    <row r="53">
      <c r="A53" s="8">
        <v>52</v>
      </c>
      <c r="B53" s="5">
        <v>46283</v>
      </c>
      <c r="C53" s="8" t="s">
        <v>88</v>
      </c>
      <c r="D53" s="3" t="s">
        <v>140</v>
      </c>
      <c r="E53" s="3" t="s">
        <v>63</v>
      </c>
      <c r="F53" t="str" s="3">
        <f>VLOOKUP(E53,'Master Inventory'!$B$2:$L$26,2,FALSE)</f>
        <v>Body Mist Fresh Bloom 100ml</v>
      </c>
      <c r="G53" s="2">
        <v>4</v>
      </c>
      <c r="H53" s="2">
        <v>55500</v>
      </c>
      <c r="I53" s="4">
        <v>0.77</v>
      </c>
      <c r="J53" s="2">
        <v>12800</v>
      </c>
      <c r="K53" s="2">
        <f>J53*G53</f>
        <v>51200</v>
      </c>
      <c r="L53" s="2">
        <f>VLOOKUP(E53,'Master Inventory'!$B$2:$L$26,5,FALSE)</f>
        <v>19000</v>
      </c>
      <c r="M53" s="2">
        <f>L53*G53</f>
        <v>76000</v>
      </c>
      <c r="N53" s="2">
        <f>K53-M53</f>
        <v>-24800</v>
      </c>
      <c r="O53" s="4">
        <f>IFERROR(N53/K53,0)</f>
        <v>-0.484375</v>
      </c>
      <c r="P53" t="str" s="3">
        <f>IF(J53&lt;L53,"BELOW COGS","OK")</f>
        <v>BELOW COGS</v>
      </c>
      <c r="Q53" s="4">
        <v>0.07</v>
      </c>
      <c r="R53" s="2">
        <f>K53*Q53</f>
        <v>3584</v>
      </c>
      <c r="S53" s="2">
        <f>K53-R53</f>
        <v>47616</v>
      </c>
      <c r="T53" s="2">
        <f>S53-M53</f>
        <v>-28384</v>
      </c>
      <c r="U53" s="4">
        <f>IFERROR(T53/S53,0)</f>
        <v>-0.596102</v>
      </c>
      <c r="V53" t="str" s="3">
        <f>IF(T53&lt;0,"RUGI SETELAH FEE","OK")</f>
        <v>RUGI SETELAH FEE</v>
      </c>
    </row>
    <row r="54">
      <c r="A54" s="8">
        <v>53</v>
      </c>
      <c r="B54" s="5">
        <v>46283</v>
      </c>
      <c r="C54" s="8" t="s">
        <v>88</v>
      </c>
      <c r="D54" s="3" t="s">
        <v>141</v>
      </c>
      <c r="E54" s="3" t="s">
        <v>37</v>
      </c>
      <c r="F54" t="str" s="3">
        <f>VLOOKUP(E54,'Master Inventory'!$B$2:$L$26,2,FALSE)</f>
        <v>Cushion Foundation SPF35</v>
      </c>
      <c r="G54" s="2">
        <v>1</v>
      </c>
      <c r="H54" s="2">
        <v>124500</v>
      </c>
      <c r="I54" s="4">
        <v>0.01</v>
      </c>
      <c r="J54" s="2">
        <v>123300</v>
      </c>
      <c r="K54" s="2">
        <f>J54*G54</f>
        <v>123300</v>
      </c>
      <c r="L54" s="2">
        <f>VLOOKUP(E54,'Master Inventory'!$B$2:$L$26,5,FALSE)</f>
        <v>45000</v>
      </c>
      <c r="M54" s="2">
        <f>L54*G54</f>
        <v>45000</v>
      </c>
      <c r="N54" s="2">
        <f>K54-M54</f>
        <v>78300</v>
      </c>
      <c r="O54" s="4">
        <f>IFERROR(N54/K54,0)</f>
        <v>0.635036</v>
      </c>
      <c r="P54" t="str" s="3">
        <f>IF(J54&lt;L54,"BELOW COGS","OK")</f>
        <v>OK</v>
      </c>
      <c r="Q54" s="4">
        <v>0.07</v>
      </c>
      <c r="R54" s="2">
        <f>K54*Q54</f>
        <v>8631</v>
      </c>
      <c r="S54" s="2">
        <f>K54-R54</f>
        <v>114669</v>
      </c>
      <c r="T54" s="2">
        <f>S54-M54</f>
        <v>69669</v>
      </c>
      <c r="U54" s="4">
        <f>IFERROR(T54/S54,0)</f>
        <v>0.607566</v>
      </c>
      <c r="V54" t="str" s="3">
        <f>IF(T54&lt;0,"RUGI SETELAH FEE","OK")</f>
        <v>OK</v>
      </c>
    </row>
    <row r="55">
      <c r="A55" s="8">
        <v>54</v>
      </c>
      <c r="B55" s="5">
        <v>46283</v>
      </c>
      <c r="C55" s="8" t="s">
        <v>88</v>
      </c>
      <c r="D55" s="3" t="s">
        <v>142</v>
      </c>
      <c r="E55" s="3" t="s">
        <v>23</v>
      </c>
      <c r="F55" t="str" s="3">
        <f>VLOOKUP(E55,'Master Inventory'!$B$2:$L$26,2,FALSE)</f>
        <v>Moisturizer Gel Cream 40g</v>
      </c>
      <c r="G55" s="2">
        <v>2</v>
      </c>
      <c r="H55" s="2">
        <v>77500</v>
      </c>
      <c r="I55" s="4">
        <v>0.05</v>
      </c>
      <c r="J55" s="2">
        <v>73600</v>
      </c>
      <c r="K55" s="2">
        <f>J55*G55</f>
        <v>147200</v>
      </c>
      <c r="L55" s="2">
        <f>VLOOKUP(E55,'Master Inventory'!$B$2:$L$26,5,FALSE)</f>
        <v>28000</v>
      </c>
      <c r="M55" s="2">
        <f>L55*G55</f>
        <v>56000</v>
      </c>
      <c r="N55" s="2">
        <f>K55-M55</f>
        <v>91200</v>
      </c>
      <c r="O55" s="4">
        <f>IFERROR(N55/K55,0)</f>
        <v>0.619565</v>
      </c>
      <c r="P55" t="str" s="3">
        <f>IF(J55&lt;L55,"BELOW COGS","OK")</f>
        <v>OK</v>
      </c>
      <c r="Q55" s="4">
        <v>0.07</v>
      </c>
      <c r="R55" s="2">
        <f>K55*Q55</f>
        <v>10304</v>
      </c>
      <c r="S55" s="2">
        <f>K55-R55</f>
        <v>136896</v>
      </c>
      <c r="T55" s="2">
        <f>S55-M55</f>
        <v>80896</v>
      </c>
      <c r="U55" s="4">
        <f>IFERROR(T55/S55,0)</f>
        <v>0.59093</v>
      </c>
      <c r="V55" t="str" s="3">
        <f>IF(T55&lt;0,"RUGI SETELAH FEE","OK")</f>
        <v>OK</v>
      </c>
    </row>
    <row r="56">
      <c r="A56" s="8">
        <v>55</v>
      </c>
      <c r="B56" s="5">
        <v>46283</v>
      </c>
      <c r="C56" s="8" t="s">
        <v>88</v>
      </c>
      <c r="D56" s="3" t="s">
        <v>143</v>
      </c>
      <c r="E56" s="3" t="s">
        <v>45</v>
      </c>
      <c r="F56" t="str" s="3">
        <f>VLOOKUP(E56,'Master Inventory'!$B$2:$L$26,2,FALSE)</f>
        <v>Makeup Setting Spray 100ml</v>
      </c>
      <c r="G56" s="2">
        <v>4</v>
      </c>
      <c r="H56" s="2">
        <v>59500</v>
      </c>
      <c r="I56" s="4">
        <v>0.03</v>
      </c>
      <c r="J56" s="2">
        <v>57700</v>
      </c>
      <c r="K56" s="2">
        <f>J56*G56</f>
        <v>230800</v>
      </c>
      <c r="L56" s="2">
        <f>VLOOKUP(E56,'Master Inventory'!$B$2:$L$26,5,FALSE)</f>
        <v>22000</v>
      </c>
      <c r="M56" s="2">
        <f>L56*G56</f>
        <v>88000</v>
      </c>
      <c r="N56" s="2">
        <f>K56-M56</f>
        <v>142800</v>
      </c>
      <c r="O56" s="4">
        <f>IFERROR(N56/K56,0)</f>
        <v>0.618718</v>
      </c>
      <c r="P56" t="str" s="3">
        <f>IF(J56&lt;L56,"BELOW COGS","OK")</f>
        <v>OK</v>
      </c>
      <c r="Q56" s="4">
        <v>0.07</v>
      </c>
      <c r="R56" s="2">
        <f>K56*Q56</f>
        <v>16156</v>
      </c>
      <c r="S56" s="2">
        <f>K56-R56</f>
        <v>214644</v>
      </c>
      <c r="T56" s="2">
        <f>S56-M56</f>
        <v>126644</v>
      </c>
      <c r="U56" s="4">
        <f>IFERROR(T56/S56,0)</f>
        <v>0.590019</v>
      </c>
      <c r="V56" t="str" s="3">
        <f>IF(T56&lt;0,"RUGI SETELAH FEE","OK")</f>
        <v>OK</v>
      </c>
    </row>
    <row r="57">
      <c r="A57" s="8">
        <v>56</v>
      </c>
      <c r="B57" s="5">
        <v>46284</v>
      </c>
      <c r="C57" s="8" t="s">
        <v>88</v>
      </c>
      <c r="D57" s="3" t="s">
        <v>144</v>
      </c>
      <c r="E57" s="3" t="s">
        <v>63</v>
      </c>
      <c r="F57" t="str" s="3">
        <f>VLOOKUP(E57,'Master Inventory'!$B$2:$L$26,2,FALSE)</f>
        <v>Body Mist Fresh Bloom 100ml</v>
      </c>
      <c r="G57" s="2">
        <v>3</v>
      </c>
      <c r="H57" s="2">
        <v>52000</v>
      </c>
      <c r="I57" s="4">
        <v>0.28</v>
      </c>
      <c r="J57" s="2">
        <v>37400</v>
      </c>
      <c r="K57" s="2">
        <f>J57*G57</f>
        <v>112200</v>
      </c>
      <c r="L57" s="2">
        <f>VLOOKUP(E57,'Master Inventory'!$B$2:$L$26,5,FALSE)</f>
        <v>19000</v>
      </c>
      <c r="M57" s="2">
        <f>L57*G57</f>
        <v>57000</v>
      </c>
      <c r="N57" s="2">
        <f>K57-M57</f>
        <v>55200</v>
      </c>
      <c r="O57" s="4">
        <f>IFERROR(N57/K57,0)</f>
        <v>0.491979</v>
      </c>
      <c r="P57" t="str" s="3">
        <f>IF(J57&lt;L57,"BELOW COGS","OK")</f>
        <v>OK</v>
      </c>
      <c r="Q57" s="4">
        <v>0.07</v>
      </c>
      <c r="R57" s="2">
        <f>K57*Q57</f>
        <v>7854</v>
      </c>
      <c r="S57" s="2">
        <f>K57-R57</f>
        <v>104346</v>
      </c>
      <c r="T57" s="2">
        <f>S57-M57</f>
        <v>47346</v>
      </c>
      <c r="U57" s="4">
        <f>IFERROR(T57/S57,0)</f>
        <v>0.45374</v>
      </c>
      <c r="V57" t="str" s="3">
        <f>IF(T57&lt;0,"RUGI SETELAH FEE","OK")</f>
        <v>OK</v>
      </c>
    </row>
    <row r="58">
      <c r="A58" s="8">
        <v>57</v>
      </c>
      <c r="B58" s="5">
        <v>46284</v>
      </c>
      <c r="C58" s="8" t="s">
        <v>88</v>
      </c>
      <c r="D58" s="3" t="s">
        <v>145</v>
      </c>
      <c r="E58" s="3" t="s">
        <v>52</v>
      </c>
      <c r="F58" t="str" s="3">
        <f>VLOOKUP(E58,'Master Inventory'!$B$2:$L$26,2,FALSE)</f>
        <v>Conditioner Repair 300ml</v>
      </c>
      <c r="G58" s="2">
        <v>2</v>
      </c>
      <c r="H58" s="2">
        <v>50000</v>
      </c>
      <c r="I58" s="4">
        <v>0.71</v>
      </c>
      <c r="J58" s="2">
        <v>14500</v>
      </c>
      <c r="K58" s="2">
        <f>J58*G58</f>
        <v>29000</v>
      </c>
      <c r="L58" s="2">
        <f>VLOOKUP(E58,'Master Inventory'!$B$2:$L$26,5,FALSE)</f>
        <v>18000</v>
      </c>
      <c r="M58" s="2">
        <f>L58*G58</f>
        <v>36000</v>
      </c>
      <c r="N58" s="2">
        <f>K58-M58</f>
        <v>-7000</v>
      </c>
      <c r="O58" s="4">
        <f>IFERROR(N58/K58,0)</f>
        <v>-0.241379</v>
      </c>
      <c r="P58" t="str" s="3">
        <f>IF(J58&lt;L58,"BELOW COGS","OK")</f>
        <v>BELOW COGS</v>
      </c>
      <c r="Q58" s="4">
        <v>0.07</v>
      </c>
      <c r="R58" s="2">
        <f>K58*Q58</f>
        <v>2030</v>
      </c>
      <c r="S58" s="2">
        <f>K58-R58</f>
        <v>26970</v>
      </c>
      <c r="T58" s="2">
        <f>S58-M58</f>
        <v>-9030</v>
      </c>
      <c r="U58" s="4">
        <f>IFERROR(T58/S58,0)</f>
        <v>-0.334816</v>
      </c>
      <c r="V58" t="str" s="3">
        <f>IF(T58&lt;0,"RUGI SETELAH FEE","OK")</f>
        <v>RUGI SETELAH FEE</v>
      </c>
    </row>
    <row r="59">
      <c r="A59" s="8">
        <v>58</v>
      </c>
      <c r="B59" s="5">
        <v>46284</v>
      </c>
      <c r="C59" s="8" t="s">
        <v>88</v>
      </c>
      <c r="D59" s="3" t="s">
        <v>146</v>
      </c>
      <c r="E59" s="3" t="s">
        <v>65</v>
      </c>
      <c r="F59" t="str" s="3">
        <f>VLOOKUP(E59,'Master Inventory'!$B$2:$L$26,2,FALSE)</f>
        <v>Eau de Toilette 30ml</v>
      </c>
      <c r="G59" s="2">
        <v>5</v>
      </c>
      <c r="H59" s="2">
        <v>163500</v>
      </c>
      <c r="I59" s="4">
        <v>0.56</v>
      </c>
      <c r="J59" s="2">
        <v>71900</v>
      </c>
      <c r="K59" s="2">
        <f>J59*G59</f>
        <v>359500</v>
      </c>
      <c r="L59" s="2">
        <f>VLOOKUP(E59,'Master Inventory'!$B$2:$L$26,5,FALSE)</f>
        <v>55000</v>
      </c>
      <c r="M59" s="2">
        <f>L59*G59</f>
        <v>275000</v>
      </c>
      <c r="N59" s="2">
        <f>K59-M59</f>
        <v>84500</v>
      </c>
      <c r="O59" s="4">
        <f>IFERROR(N59/K59,0)</f>
        <v>0.235049</v>
      </c>
      <c r="P59" t="str" s="3">
        <f>IF(J59&lt;L59,"BELOW COGS","OK")</f>
        <v>OK</v>
      </c>
      <c r="Q59" s="4">
        <v>0.07</v>
      </c>
      <c r="R59" s="2">
        <f>K59*Q59</f>
        <v>25165</v>
      </c>
      <c r="S59" s="2">
        <f>K59-R59</f>
        <v>334335</v>
      </c>
      <c r="T59" s="2">
        <f>S59-M59</f>
        <v>59335</v>
      </c>
      <c r="U59" s="4">
        <f>IFERROR(T59/S59,0)</f>
        <v>0.177472</v>
      </c>
      <c r="V59" t="str" s="3">
        <f>IF(T59&lt;0,"RUGI SETELAH FEE","OK")</f>
        <v>OK</v>
      </c>
    </row>
    <row r="60">
      <c r="A60" s="8">
        <v>59</v>
      </c>
      <c r="B60" s="5">
        <v>46285</v>
      </c>
      <c r="C60" s="8" t="s">
        <v>88</v>
      </c>
      <c r="D60" s="3" t="s">
        <v>147</v>
      </c>
      <c r="E60" s="3" t="s">
        <v>32</v>
      </c>
      <c r="F60" t="str" s="3">
        <f>VLOOKUP(E60,'Master Inventory'!$B$2:$L$26,2,FALSE)</f>
        <v>Lip Tint Velvet Matte</v>
      </c>
      <c r="G60" s="2">
        <v>1</v>
      </c>
      <c r="H60" s="2">
        <v>41000</v>
      </c>
      <c r="I60" s="4">
        <v>0.29</v>
      </c>
      <c r="J60" s="2">
        <v>29100</v>
      </c>
      <c r="K60" s="2">
        <f>J60*G60</f>
        <v>29100</v>
      </c>
      <c r="L60" s="2">
        <f>VLOOKUP(E60,'Master Inventory'!$B$2:$L$26,5,FALSE)</f>
        <v>14000</v>
      </c>
      <c r="M60" s="2">
        <f>L60*G60</f>
        <v>14000</v>
      </c>
      <c r="N60" s="2">
        <f>K60-M60</f>
        <v>15100</v>
      </c>
      <c r="O60" s="4">
        <f>IFERROR(N60/K60,0)</f>
        <v>0.5189</v>
      </c>
      <c r="P60" t="str" s="3">
        <f>IF(J60&lt;L60,"BELOW COGS","OK")</f>
        <v>OK</v>
      </c>
      <c r="Q60" s="4">
        <v>0.07</v>
      </c>
      <c r="R60" s="2">
        <f>K60*Q60</f>
        <v>2037</v>
      </c>
      <c r="S60" s="2">
        <f>K60-R60</f>
        <v>27063</v>
      </c>
      <c r="T60" s="2">
        <f>S60-M60</f>
        <v>13063</v>
      </c>
      <c r="U60" s="4">
        <f>IFERROR(T60/S60,0)</f>
        <v>0.482689</v>
      </c>
      <c r="V60" t="str" s="3">
        <f>IF(T60&lt;0,"RUGI SETELAH FEE","OK")</f>
        <v>OK</v>
      </c>
    </row>
    <row r="61">
      <c r="A61" s="8">
        <v>60</v>
      </c>
      <c r="B61" s="5">
        <v>46285</v>
      </c>
      <c r="C61" s="8" t="s">
        <v>88</v>
      </c>
      <c r="D61" s="3" t="s">
        <v>148</v>
      </c>
      <c r="E61" s="3" t="s">
        <v>37</v>
      </c>
      <c r="F61" t="str" s="3">
        <f>VLOOKUP(E61,'Master Inventory'!$B$2:$L$26,2,FALSE)</f>
        <v>Cushion Foundation SPF35</v>
      </c>
      <c r="G61" s="2">
        <v>1</v>
      </c>
      <c r="H61" s="2">
        <v>143500</v>
      </c>
      <c r="I61" s="4">
        <v>0.05</v>
      </c>
      <c r="J61" s="2">
        <v>136300</v>
      </c>
      <c r="K61" s="2">
        <f>J61*G61</f>
        <v>136300</v>
      </c>
      <c r="L61" s="2">
        <f>VLOOKUP(E61,'Master Inventory'!$B$2:$L$26,5,FALSE)</f>
        <v>45000</v>
      </c>
      <c r="M61" s="2">
        <f>L61*G61</f>
        <v>45000</v>
      </c>
      <c r="N61" s="2">
        <f>K61-M61</f>
        <v>91300</v>
      </c>
      <c r="O61" s="4">
        <f>IFERROR(N61/K61,0)</f>
        <v>0.669846</v>
      </c>
      <c r="P61" t="str" s="3">
        <f>IF(J61&lt;L61,"BELOW COGS","OK")</f>
        <v>OK</v>
      </c>
      <c r="Q61" s="4">
        <v>0.07</v>
      </c>
      <c r="R61" s="2">
        <f>K61*Q61</f>
        <v>9541</v>
      </c>
      <c r="S61" s="2">
        <f>K61-R61</f>
        <v>126759</v>
      </c>
      <c r="T61" s="2">
        <f>S61-M61</f>
        <v>81759</v>
      </c>
      <c r="U61" s="4">
        <f>IFERROR(T61/S61,0)</f>
        <v>0.644996</v>
      </c>
      <c r="V61" t="str" s="3">
        <f>IF(T61&lt;0,"RUGI SETELAH FEE","OK")</f>
        <v>OK</v>
      </c>
    </row>
    <row r="62">
      <c r="A62" s="8">
        <v>61</v>
      </c>
      <c r="B62" s="5">
        <v>46286</v>
      </c>
      <c r="C62" s="8" t="s">
        <v>88</v>
      </c>
      <c r="D62" s="3" t="s">
        <v>149</v>
      </c>
      <c r="E62" s="3" t="s">
        <v>21</v>
      </c>
      <c r="F62" t="str" s="3">
        <f>VLOOKUP(E62,'Master Inventory'!$B$2:$L$26,2,FALSE)</f>
        <v>Serum Niacinamide 10% 20ml</v>
      </c>
      <c r="G62" s="2">
        <v>1</v>
      </c>
      <c r="H62" s="2">
        <v>93500</v>
      </c>
      <c r="I62" s="4">
        <v>0.58</v>
      </c>
      <c r="J62" s="2">
        <v>39300</v>
      </c>
      <c r="K62" s="2">
        <f>J62*G62</f>
        <v>39300</v>
      </c>
      <c r="L62" s="2">
        <f>VLOOKUP(E62,'Master Inventory'!$B$2:$L$26,5,FALSE)</f>
        <v>32000</v>
      </c>
      <c r="M62" s="2">
        <f>L62*G62</f>
        <v>32000</v>
      </c>
      <c r="N62" s="2">
        <f>K62-M62</f>
        <v>7300</v>
      </c>
      <c r="O62" s="4">
        <f>IFERROR(N62/K62,0)</f>
        <v>0.185751</v>
      </c>
      <c r="P62" t="str" s="3">
        <f>IF(J62&lt;L62,"BELOW COGS","OK")</f>
        <v>OK</v>
      </c>
      <c r="Q62" s="4">
        <v>0.07</v>
      </c>
      <c r="R62" s="2">
        <f>K62*Q62</f>
        <v>2751</v>
      </c>
      <c r="S62" s="2">
        <f>K62-R62</f>
        <v>36549</v>
      </c>
      <c r="T62" s="2">
        <f>S62-M62</f>
        <v>4549</v>
      </c>
      <c r="U62" s="4">
        <f>IFERROR(T62/S62,0)</f>
        <v>0.124463</v>
      </c>
      <c r="V62" t="str" s="3">
        <f>IF(T62&lt;0,"RUGI SETELAH FEE","OK")</f>
        <v>OK</v>
      </c>
    </row>
    <row r="63">
      <c r="A63" s="8">
        <v>62</v>
      </c>
      <c r="B63" s="5">
        <v>46286</v>
      </c>
      <c r="C63" s="8" t="s">
        <v>88</v>
      </c>
      <c r="D63" s="3" t="s">
        <v>150</v>
      </c>
      <c r="E63" s="3" t="s">
        <v>45</v>
      </c>
      <c r="F63" t="str" s="3">
        <f>VLOOKUP(E63,'Master Inventory'!$B$2:$L$26,2,FALSE)</f>
        <v>Makeup Setting Spray 100ml</v>
      </c>
      <c r="G63" s="2">
        <v>2</v>
      </c>
      <c r="H63" s="2">
        <v>62000</v>
      </c>
      <c r="I63" s="4">
        <v>0.68</v>
      </c>
      <c r="J63" s="2">
        <v>19800</v>
      </c>
      <c r="K63" s="2">
        <f>J63*G63</f>
        <v>39600</v>
      </c>
      <c r="L63" s="2">
        <f>VLOOKUP(E63,'Master Inventory'!$B$2:$L$26,5,FALSE)</f>
        <v>22000</v>
      </c>
      <c r="M63" s="2">
        <f>L63*G63</f>
        <v>44000</v>
      </c>
      <c r="N63" s="2">
        <f>K63-M63</f>
        <v>-4400</v>
      </c>
      <c r="O63" s="4">
        <f>IFERROR(N63/K63,0)</f>
        <v>-0.111111</v>
      </c>
      <c r="P63" t="str" s="3">
        <f>IF(J63&lt;L63,"BELOW COGS","OK")</f>
        <v>BELOW COGS</v>
      </c>
      <c r="Q63" s="4">
        <v>0.07</v>
      </c>
      <c r="R63" s="2">
        <f>K63*Q63</f>
        <v>2772</v>
      </c>
      <c r="S63" s="2">
        <f>K63-R63</f>
        <v>36828</v>
      </c>
      <c r="T63" s="2">
        <f>S63-M63</f>
        <v>-7172</v>
      </c>
      <c r="U63" s="4">
        <f>IFERROR(T63/S63,0)</f>
        <v>-0.194743</v>
      </c>
      <c r="V63" t="str" s="3">
        <f>IF(T63&lt;0,"RUGI SETELAH FEE","OK")</f>
        <v>RUGI SETELAH FEE</v>
      </c>
    </row>
    <row r="64">
      <c r="A64" s="8">
        <v>63</v>
      </c>
      <c r="B64" s="5">
        <v>46286</v>
      </c>
      <c r="C64" s="8" t="s">
        <v>88</v>
      </c>
      <c r="D64" s="3" t="s">
        <v>151</v>
      </c>
      <c r="E64" s="3" t="s">
        <v>26</v>
      </c>
      <c r="F64" t="str" s="3">
        <f>VLOOKUP(E64,'Master Inventory'!$B$2:$L$26,2,FALSE)</f>
        <v>Sunscreen SPF50 PA+++ 40ml</v>
      </c>
      <c r="G64" s="2">
        <v>6</v>
      </c>
      <c r="H64" s="2">
        <v>83500</v>
      </c>
      <c r="I64" s="4">
        <v>0.64</v>
      </c>
      <c r="J64" s="2">
        <v>30100</v>
      </c>
      <c r="K64" s="2">
        <f>J64*G64</f>
        <v>180600</v>
      </c>
      <c r="L64" s="2">
        <f>VLOOKUP(E64,'Master Inventory'!$B$2:$L$26,5,FALSE)</f>
        <v>30000</v>
      </c>
      <c r="M64" s="2">
        <f>L64*G64</f>
        <v>180000</v>
      </c>
      <c r="N64" s="2">
        <f>K64-M64</f>
        <v>600</v>
      </c>
      <c r="O64" s="4">
        <f>IFERROR(N64/K64,0)</f>
        <v>0.003322</v>
      </c>
      <c r="P64" t="str" s="3">
        <f>IF(J64&lt;L64,"BELOW COGS","OK")</f>
        <v>OK</v>
      </c>
      <c r="Q64" s="4">
        <v>0.07</v>
      </c>
      <c r="R64" s="2">
        <f>K64*Q64</f>
        <v>12642</v>
      </c>
      <c r="S64" s="2">
        <f>K64-R64</f>
        <v>167958</v>
      </c>
      <c r="T64" s="2">
        <f>S64-M64</f>
        <v>-12042</v>
      </c>
      <c r="U64" s="4">
        <f>IFERROR(T64/S64,0)</f>
        <v>-0.071696</v>
      </c>
      <c r="V64" t="str" s="3">
        <f>IF(T64&lt;0,"RUGI SETELAH FEE","OK")</f>
        <v>RUGI SETELAH FEE</v>
      </c>
    </row>
    <row r="65">
      <c r="A65" s="8">
        <v>64</v>
      </c>
      <c r="B65" s="5">
        <v>46286</v>
      </c>
      <c r="C65" s="8" t="s">
        <v>88</v>
      </c>
      <c r="D65" s="3" t="s">
        <v>152</v>
      </c>
      <c r="E65" s="3" t="s">
        <v>52</v>
      </c>
      <c r="F65" t="str" s="3">
        <f>VLOOKUP(E65,'Master Inventory'!$B$2:$L$26,2,FALSE)</f>
        <v>Conditioner Repair 300ml</v>
      </c>
      <c r="G65" s="2">
        <v>1</v>
      </c>
      <c r="H65" s="2">
        <v>53500</v>
      </c>
      <c r="I65" s="4">
        <v>0.07</v>
      </c>
      <c r="J65" s="2">
        <v>49800</v>
      </c>
      <c r="K65" s="2">
        <f>J65*G65</f>
        <v>49800</v>
      </c>
      <c r="L65" s="2">
        <f>VLOOKUP(E65,'Master Inventory'!$B$2:$L$26,5,FALSE)</f>
        <v>18000</v>
      </c>
      <c r="M65" s="2">
        <f>L65*G65</f>
        <v>18000</v>
      </c>
      <c r="N65" s="2">
        <f>K65-M65</f>
        <v>31800</v>
      </c>
      <c r="O65" s="4">
        <f>IFERROR(N65/K65,0)</f>
        <v>0.638554</v>
      </c>
      <c r="P65" t="str" s="3">
        <f>IF(J65&lt;L65,"BELOW COGS","OK")</f>
        <v>OK</v>
      </c>
      <c r="Q65" s="4">
        <v>0.07</v>
      </c>
      <c r="R65" s="2">
        <f>K65*Q65</f>
        <v>3486</v>
      </c>
      <c r="S65" s="2">
        <f>K65-R65</f>
        <v>46314</v>
      </c>
      <c r="T65" s="2">
        <f>S65-M65</f>
        <v>28314</v>
      </c>
      <c r="U65" s="4">
        <f>IFERROR(T65/S65,0)</f>
        <v>0.611349</v>
      </c>
      <c r="V65" t="str" s="3">
        <f>IF(T65&lt;0,"RUGI SETELAH FEE","OK")</f>
        <v>OK</v>
      </c>
    </row>
    <row r="66">
      <c r="A66" s="8">
        <v>65</v>
      </c>
      <c r="B66" s="5">
        <v>46287</v>
      </c>
      <c r="C66" s="8" t="s">
        <v>88</v>
      </c>
      <c r="D66" s="3" t="s">
        <v>153</v>
      </c>
      <c r="E66" s="3" t="s">
        <v>63</v>
      </c>
      <c r="F66" t="str" s="3">
        <f>VLOOKUP(E66,'Master Inventory'!$B$2:$L$26,2,FALSE)</f>
        <v>Body Mist Fresh Bloom 100ml</v>
      </c>
      <c r="G66" s="2">
        <v>4</v>
      </c>
      <c r="H66" s="2">
        <v>51000</v>
      </c>
      <c r="I66" s="4">
        <v>0.77</v>
      </c>
      <c r="J66" s="2">
        <v>11700</v>
      </c>
      <c r="K66" s="2">
        <f>J66*G66</f>
        <v>46800</v>
      </c>
      <c r="L66" s="2">
        <f>VLOOKUP(E66,'Master Inventory'!$B$2:$L$26,5,FALSE)</f>
        <v>19000</v>
      </c>
      <c r="M66" s="2">
        <f>L66*G66</f>
        <v>76000</v>
      </c>
      <c r="N66" s="2">
        <f>K66-M66</f>
        <v>-29200</v>
      </c>
      <c r="O66" s="4">
        <f>IFERROR(N66/K66,0)</f>
        <v>-0.623932</v>
      </c>
      <c r="P66" t="str" s="3">
        <f>IF(J66&lt;L66,"BELOW COGS","OK")</f>
        <v>BELOW COGS</v>
      </c>
      <c r="Q66" s="4">
        <v>0.07</v>
      </c>
      <c r="R66" s="2">
        <f>K66*Q66</f>
        <v>3276</v>
      </c>
      <c r="S66" s="2">
        <f>K66-R66</f>
        <v>43524</v>
      </c>
      <c r="T66" s="2">
        <f>S66-M66</f>
        <v>-32476</v>
      </c>
      <c r="U66" s="4">
        <f>IFERROR(T66/S66,0)</f>
        <v>-0.746163</v>
      </c>
      <c r="V66" t="str" s="3">
        <f>IF(T66&lt;0,"RUGI SETELAH FEE","OK")</f>
        <v>RUGI SETELAH FEE</v>
      </c>
    </row>
    <row r="67">
      <c r="A67" s="8">
        <v>66</v>
      </c>
      <c r="B67" s="5">
        <v>46287</v>
      </c>
      <c r="C67" s="8" t="s">
        <v>88</v>
      </c>
      <c r="D67" s="3" t="s">
        <v>154</v>
      </c>
      <c r="E67" s="3" t="s">
        <v>54</v>
      </c>
      <c r="F67" t="str" s="3">
        <f>VLOOKUP(E67,'Master Inventory'!$B$2:$L$26,2,FALSE)</f>
        <v>Hair Mist Perfume 100ml</v>
      </c>
      <c r="G67" s="2">
        <v>5</v>
      </c>
      <c r="H67" s="2">
        <v>59500</v>
      </c>
      <c r="I67" s="4">
        <v>0.02</v>
      </c>
      <c r="J67" s="2">
        <v>58300</v>
      </c>
      <c r="K67" s="2">
        <f>J67*G67</f>
        <v>291500</v>
      </c>
      <c r="L67" s="2">
        <f>VLOOKUP(E67,'Master Inventory'!$B$2:$L$26,5,FALSE)</f>
        <v>20000</v>
      </c>
      <c r="M67" s="2">
        <f>L67*G67</f>
        <v>100000</v>
      </c>
      <c r="N67" s="2">
        <f>K67-M67</f>
        <v>191500</v>
      </c>
      <c r="O67" s="4">
        <f>IFERROR(N67/K67,0)</f>
        <v>0.656947</v>
      </c>
      <c r="P67" t="str" s="3">
        <f>IF(J67&lt;L67,"BELOW COGS","OK")</f>
        <v>OK</v>
      </c>
      <c r="Q67" s="4">
        <v>0.07</v>
      </c>
      <c r="R67" s="2">
        <f>K67*Q67</f>
        <v>20405</v>
      </c>
      <c r="S67" s="2">
        <f>K67-R67</f>
        <v>271095</v>
      </c>
      <c r="T67" s="2">
        <f>S67-M67</f>
        <v>171095</v>
      </c>
      <c r="U67" s="4">
        <f>IFERROR(T67/S67,0)</f>
        <v>0.631126</v>
      </c>
      <c r="V67" t="str" s="3">
        <f>IF(T67&lt;0,"RUGI SETELAH FEE","OK")</f>
        <v>OK</v>
      </c>
    </row>
    <row r="68">
      <c r="A68" s="8">
        <v>67</v>
      </c>
      <c r="B68" s="5">
        <v>46287</v>
      </c>
      <c r="C68" s="8" t="s">
        <v>88</v>
      </c>
      <c r="D68" s="3" t="s">
        <v>155</v>
      </c>
      <c r="E68" s="3" t="s">
        <v>52</v>
      </c>
      <c r="F68" t="str" s="3">
        <f>VLOOKUP(E68,'Master Inventory'!$B$2:$L$26,2,FALSE)</f>
        <v>Conditioner Repair 300ml</v>
      </c>
      <c r="G68" s="2">
        <v>3</v>
      </c>
      <c r="H68" s="2">
        <v>53000</v>
      </c>
      <c r="I68" s="4">
        <v>0.75</v>
      </c>
      <c r="J68" s="2">
        <v>13200</v>
      </c>
      <c r="K68" s="2">
        <f>J68*G68</f>
        <v>39600</v>
      </c>
      <c r="L68" s="2">
        <f>VLOOKUP(E68,'Master Inventory'!$B$2:$L$26,5,FALSE)</f>
        <v>18000</v>
      </c>
      <c r="M68" s="2">
        <f>L68*G68</f>
        <v>54000</v>
      </c>
      <c r="N68" s="2">
        <f>K68-M68</f>
        <v>-14400</v>
      </c>
      <c r="O68" s="4">
        <f>IFERROR(N68/K68,0)</f>
        <v>-0.363636</v>
      </c>
      <c r="P68" t="str" s="3">
        <f>IF(J68&lt;L68,"BELOW COGS","OK")</f>
        <v>BELOW COGS</v>
      </c>
      <c r="Q68" s="4">
        <v>0.07</v>
      </c>
      <c r="R68" s="2">
        <f>K68*Q68</f>
        <v>2772</v>
      </c>
      <c r="S68" s="2">
        <f>K68-R68</f>
        <v>36828</v>
      </c>
      <c r="T68" s="2">
        <f>S68-M68</f>
        <v>-17172</v>
      </c>
      <c r="U68" s="4">
        <f>IFERROR(T68/S68,0)</f>
        <v>-0.466276</v>
      </c>
      <c r="V68" t="str" s="3">
        <f>IF(T68&lt;0,"RUGI SETELAH FEE","OK")</f>
        <v>RUGI SETELAH FEE</v>
      </c>
    </row>
    <row r="69">
      <c r="A69" s="8">
        <v>68</v>
      </c>
      <c r="B69" s="5">
        <v>46287</v>
      </c>
      <c r="C69" s="8" t="s">
        <v>88</v>
      </c>
      <c r="D69" s="3" t="s">
        <v>156</v>
      </c>
      <c r="E69" s="3" t="s">
        <v>37</v>
      </c>
      <c r="F69" t="str" s="3">
        <f>VLOOKUP(E69,'Master Inventory'!$B$2:$L$26,2,FALSE)</f>
        <v>Cushion Foundation SPF35</v>
      </c>
      <c r="G69" s="2">
        <v>5</v>
      </c>
      <c r="H69" s="2">
        <v>130000</v>
      </c>
      <c r="I69" s="4">
        <v>0.06</v>
      </c>
      <c r="J69" s="2">
        <v>122200</v>
      </c>
      <c r="K69" s="2">
        <f>J69*G69</f>
        <v>611000</v>
      </c>
      <c r="L69" s="2">
        <f>VLOOKUP(E69,'Master Inventory'!$B$2:$L$26,5,FALSE)</f>
        <v>45000</v>
      </c>
      <c r="M69" s="2">
        <f>L69*G69</f>
        <v>225000</v>
      </c>
      <c r="N69" s="2">
        <f>K69-M69</f>
        <v>386000</v>
      </c>
      <c r="O69" s="4">
        <f>IFERROR(N69/K69,0)</f>
        <v>0.631751</v>
      </c>
      <c r="P69" t="str" s="3">
        <f>IF(J69&lt;L69,"BELOW COGS","OK")</f>
        <v>OK</v>
      </c>
      <c r="Q69" s="4">
        <v>0.07</v>
      </c>
      <c r="R69" s="2">
        <f>K69*Q69</f>
        <v>42770</v>
      </c>
      <c r="S69" s="2">
        <f>K69-R69</f>
        <v>568230</v>
      </c>
      <c r="T69" s="2">
        <f>S69-M69</f>
        <v>343230</v>
      </c>
      <c r="U69" s="4">
        <f>IFERROR(T69/S69,0)</f>
        <v>0.604034</v>
      </c>
      <c r="V69" t="str" s="3">
        <f>IF(T69&lt;0,"RUGI SETELAH FEE","OK")</f>
        <v>OK</v>
      </c>
    </row>
    <row r="70">
      <c r="A70" s="8">
        <v>69</v>
      </c>
      <c r="B70" s="5">
        <v>46288</v>
      </c>
      <c r="C70" s="8" t="s">
        <v>88</v>
      </c>
      <c r="D70" s="3" t="s">
        <v>157</v>
      </c>
      <c r="E70" s="3" t="s">
        <v>58</v>
      </c>
      <c r="F70" t="str" s="3">
        <f>VLOOKUP(E70,'Master Inventory'!$B$2:$L$26,2,FALSE)</f>
        <v>Body Lotion Brightening 200ml</v>
      </c>
      <c r="G70" s="2">
        <v>6</v>
      </c>
      <c r="H70" s="2">
        <v>45500</v>
      </c>
      <c r="I70" s="4">
        <v>0.69</v>
      </c>
      <c r="J70" s="2">
        <v>14100</v>
      </c>
      <c r="K70" s="2">
        <f>J70*G70</f>
        <v>84600</v>
      </c>
      <c r="L70" s="2">
        <f>VLOOKUP(E70,'Master Inventory'!$B$2:$L$26,5,FALSE)</f>
        <v>16000</v>
      </c>
      <c r="M70" s="2">
        <f>L70*G70</f>
        <v>96000</v>
      </c>
      <c r="N70" s="2">
        <f>K70-M70</f>
        <v>-11400</v>
      </c>
      <c r="O70" s="4">
        <f>IFERROR(N70/K70,0)</f>
        <v>-0.134752</v>
      </c>
      <c r="P70" t="str" s="3">
        <f>IF(J70&lt;L70,"BELOW COGS","OK")</f>
        <v>BELOW COGS</v>
      </c>
      <c r="Q70" s="4">
        <v>0.07</v>
      </c>
      <c r="R70" s="2">
        <f>K70*Q70</f>
        <v>5922</v>
      </c>
      <c r="S70" s="2">
        <f>K70-R70</f>
        <v>78678</v>
      </c>
      <c r="T70" s="2">
        <f>S70-M70</f>
        <v>-17322</v>
      </c>
      <c r="U70" s="4">
        <f>IFERROR(T70/S70,0)</f>
        <v>-0.220163</v>
      </c>
      <c r="V70" t="str" s="3">
        <f>IF(T70&lt;0,"RUGI SETELAH FEE","OK")</f>
        <v>RUGI SETELAH FEE</v>
      </c>
    </row>
    <row r="71">
      <c r="A71" s="8">
        <v>70</v>
      </c>
      <c r="B71" s="5">
        <v>46288</v>
      </c>
      <c r="C71" s="8" t="s">
        <v>88</v>
      </c>
      <c r="D71" s="3" t="s">
        <v>158</v>
      </c>
      <c r="E71" s="3" t="s">
        <v>28</v>
      </c>
      <c r="F71" t="str" s="3">
        <f>VLOOKUP(E71,'Master Inventory'!$B$2:$L$26,2,FALSE)</f>
        <v>Eye Cream Anti Aging 15ml</v>
      </c>
      <c r="G71" s="2">
        <v>6</v>
      </c>
      <c r="H71" s="2">
        <v>101000</v>
      </c>
      <c r="I71" s="4">
        <v>0.05</v>
      </c>
      <c r="J71" s="2">
        <v>96000</v>
      </c>
      <c r="K71" s="2">
        <f>J71*G71</f>
        <v>576000</v>
      </c>
      <c r="L71" s="2">
        <f>VLOOKUP(E71,'Master Inventory'!$B$2:$L$26,5,FALSE)</f>
        <v>38000</v>
      </c>
      <c r="M71" s="2">
        <f>L71*G71</f>
        <v>228000</v>
      </c>
      <c r="N71" s="2">
        <f>K71-M71</f>
        <v>348000</v>
      </c>
      <c r="O71" s="4">
        <f>IFERROR(N71/K71,0)</f>
        <v>0.604167</v>
      </c>
      <c r="P71" t="str" s="3">
        <f>IF(J71&lt;L71,"BELOW COGS","OK")</f>
        <v>OK</v>
      </c>
      <c r="Q71" s="4">
        <v>0.07</v>
      </c>
      <c r="R71" s="2">
        <f>K71*Q71</f>
        <v>40320</v>
      </c>
      <c r="S71" s="2">
        <f>K71-R71</f>
        <v>535680</v>
      </c>
      <c r="T71" s="2">
        <f>S71-M71</f>
        <v>307680</v>
      </c>
      <c r="U71" s="4">
        <f>IFERROR(T71/S71,0)</f>
        <v>0.574373</v>
      </c>
      <c r="V71" t="str" s="3">
        <f>IF(T71&lt;0,"RUGI SETELAH FEE","OK")</f>
        <v>OK</v>
      </c>
    </row>
    <row r="72">
      <c r="A72" s="8">
        <v>71</v>
      </c>
      <c r="B72" s="5">
        <v>46288</v>
      </c>
      <c r="C72" s="8" t="s">
        <v>88</v>
      </c>
      <c r="D72" s="3" t="s">
        <v>159</v>
      </c>
      <c r="E72" s="3" t="s">
        <v>37</v>
      </c>
      <c r="F72" t="str" s="3">
        <f>VLOOKUP(E72,'Master Inventory'!$B$2:$L$26,2,FALSE)</f>
        <v>Cushion Foundation SPF35</v>
      </c>
      <c r="G72" s="2">
        <v>2</v>
      </c>
      <c r="H72" s="2">
        <v>128500</v>
      </c>
      <c r="I72" s="4">
        <v>0.7</v>
      </c>
      <c r="J72" s="2">
        <v>38600</v>
      </c>
      <c r="K72" s="2">
        <f>J72*G72</f>
        <v>77200</v>
      </c>
      <c r="L72" s="2">
        <f>VLOOKUP(E72,'Master Inventory'!$B$2:$L$26,5,FALSE)</f>
        <v>45000</v>
      </c>
      <c r="M72" s="2">
        <f>L72*G72</f>
        <v>90000</v>
      </c>
      <c r="N72" s="2">
        <f>K72-M72</f>
        <v>-12800</v>
      </c>
      <c r="O72" s="4">
        <f>IFERROR(N72/K72,0)</f>
        <v>-0.165803</v>
      </c>
      <c r="P72" t="str" s="3">
        <f>IF(J72&lt;L72,"BELOW COGS","OK")</f>
        <v>BELOW COGS</v>
      </c>
      <c r="Q72" s="4">
        <v>0.07</v>
      </c>
      <c r="R72" s="2">
        <f>K72*Q72</f>
        <v>5404</v>
      </c>
      <c r="S72" s="2">
        <f>K72-R72</f>
        <v>71796</v>
      </c>
      <c r="T72" s="2">
        <f>S72-M72</f>
        <v>-18204</v>
      </c>
      <c r="U72" s="4">
        <f>IFERROR(T72/S72,0)</f>
        <v>-0.253552</v>
      </c>
      <c r="V72" t="str" s="3">
        <f>IF(T72&lt;0,"RUGI SETELAH FEE","OK")</f>
        <v>RUGI SETELAH FEE</v>
      </c>
    </row>
    <row r="73">
      <c r="A73" s="8">
        <v>72</v>
      </c>
      <c r="B73" s="5">
        <v>46288</v>
      </c>
      <c r="C73" s="8" t="s">
        <v>88</v>
      </c>
      <c r="D73" s="3" t="s">
        <v>160</v>
      </c>
      <c r="E73" s="3" t="s">
        <v>35</v>
      </c>
      <c r="F73" t="str" s="3">
        <f>VLOOKUP(E73,'Master Inventory'!$B$2:$L$26,2,FALSE)</f>
        <v>Lip Cream Matte Long Lasting</v>
      </c>
      <c r="G73" s="2">
        <v>5</v>
      </c>
      <c r="H73" s="2">
        <v>46000</v>
      </c>
      <c r="I73" s="4">
        <v>0.04</v>
      </c>
      <c r="J73" s="2">
        <v>44200</v>
      </c>
      <c r="K73" s="2">
        <f>J73*G73</f>
        <v>221000</v>
      </c>
      <c r="L73" s="2">
        <f>VLOOKUP(E73,'Master Inventory'!$B$2:$L$26,5,FALSE)</f>
        <v>15000</v>
      </c>
      <c r="M73" s="2">
        <f>L73*G73</f>
        <v>75000</v>
      </c>
      <c r="N73" s="2">
        <f>K73-M73</f>
        <v>146000</v>
      </c>
      <c r="O73" s="4">
        <f>IFERROR(N73/K73,0)</f>
        <v>0.660633</v>
      </c>
      <c r="P73" t="str" s="3">
        <f>IF(J73&lt;L73,"BELOW COGS","OK")</f>
        <v>OK</v>
      </c>
      <c r="Q73" s="4">
        <v>0.07</v>
      </c>
      <c r="R73" s="2">
        <f>K73*Q73</f>
        <v>15470</v>
      </c>
      <c r="S73" s="2">
        <f>K73-R73</f>
        <v>205530</v>
      </c>
      <c r="T73" s="2">
        <f>S73-M73</f>
        <v>130530</v>
      </c>
      <c r="U73" s="4">
        <f>IFERROR(T73/S73,0)</f>
        <v>0.63509</v>
      </c>
      <c r="V73" t="str" s="3">
        <f>IF(T73&lt;0,"RUGI SETELAH FEE","OK")</f>
        <v>OK</v>
      </c>
    </row>
    <row r="74">
      <c r="A74" s="8">
        <v>73</v>
      </c>
      <c r="B74" s="5">
        <v>46288</v>
      </c>
      <c r="C74" s="8" t="s">
        <v>88</v>
      </c>
      <c r="D74" s="3" t="s">
        <v>161</v>
      </c>
      <c r="E74" s="3" t="s">
        <v>23</v>
      </c>
      <c r="F74" t="str" s="3">
        <f>VLOOKUP(E74,'Master Inventory'!$B$2:$L$26,2,FALSE)</f>
        <v>Moisturizer Gel Cream 40g</v>
      </c>
      <c r="G74" s="2">
        <v>5</v>
      </c>
      <c r="H74" s="2">
        <v>71500</v>
      </c>
      <c r="I74" s="4">
        <v>0.68</v>
      </c>
      <c r="J74" s="2">
        <v>22900</v>
      </c>
      <c r="K74" s="2">
        <f>J74*G74</f>
        <v>114500</v>
      </c>
      <c r="L74" s="2">
        <f>VLOOKUP(E74,'Master Inventory'!$B$2:$L$26,5,FALSE)</f>
        <v>28000</v>
      </c>
      <c r="M74" s="2">
        <f>L74*G74</f>
        <v>140000</v>
      </c>
      <c r="N74" s="2">
        <f>K74-M74</f>
        <v>-25500</v>
      </c>
      <c r="O74" s="4">
        <f>IFERROR(N74/K74,0)</f>
        <v>-0.222707</v>
      </c>
      <c r="P74" t="str" s="3">
        <f>IF(J74&lt;L74,"BELOW COGS","OK")</f>
        <v>BELOW COGS</v>
      </c>
      <c r="Q74" s="4">
        <v>0.07</v>
      </c>
      <c r="R74" s="2">
        <f>K74*Q74</f>
        <v>8015</v>
      </c>
      <c r="S74" s="2">
        <f>K74-R74</f>
        <v>106485</v>
      </c>
      <c r="T74" s="2">
        <f>S74-M74</f>
        <v>-33515</v>
      </c>
      <c r="U74" s="4">
        <f>IFERROR(T74/S74,0)</f>
        <v>-0.314739</v>
      </c>
      <c r="V74" t="str" s="3">
        <f>IF(T74&lt;0,"RUGI SETELAH FEE","OK")</f>
        <v>RUGI SETELAH FEE</v>
      </c>
    </row>
    <row r="75">
      <c r="A75" s="8">
        <v>74</v>
      </c>
      <c r="B75" s="5">
        <v>46288</v>
      </c>
      <c r="C75" s="8" t="s">
        <v>88</v>
      </c>
      <c r="D75" s="3" t="s">
        <v>162</v>
      </c>
      <c r="E75" s="3" t="s">
        <v>63</v>
      </c>
      <c r="F75" t="str" s="3">
        <f>VLOOKUP(E75,'Master Inventory'!$B$2:$L$26,2,FALSE)</f>
        <v>Body Mist Fresh Bloom 100ml</v>
      </c>
      <c r="G75" s="2">
        <v>4</v>
      </c>
      <c r="H75" s="2">
        <v>55000</v>
      </c>
      <c r="I75" s="4">
        <v>0.7</v>
      </c>
      <c r="J75" s="2">
        <v>16500</v>
      </c>
      <c r="K75" s="2">
        <f>J75*G75</f>
        <v>66000</v>
      </c>
      <c r="L75" s="2">
        <f>VLOOKUP(E75,'Master Inventory'!$B$2:$L$26,5,FALSE)</f>
        <v>19000</v>
      </c>
      <c r="M75" s="2">
        <f>L75*G75</f>
        <v>76000</v>
      </c>
      <c r="N75" s="2">
        <f>K75-M75</f>
        <v>-10000</v>
      </c>
      <c r="O75" s="4">
        <f>IFERROR(N75/K75,0)</f>
        <v>-0.151515</v>
      </c>
      <c r="P75" t="str" s="3">
        <f>IF(J75&lt;L75,"BELOW COGS","OK")</f>
        <v>BELOW COGS</v>
      </c>
      <c r="Q75" s="4">
        <v>0.07</v>
      </c>
      <c r="R75" s="2">
        <f>K75*Q75</f>
        <v>4620</v>
      </c>
      <c r="S75" s="2">
        <f>K75-R75</f>
        <v>61380</v>
      </c>
      <c r="T75" s="2">
        <f>S75-M75</f>
        <v>-14620</v>
      </c>
      <c r="U75" s="4">
        <f>IFERROR(T75/S75,0)</f>
        <v>-0.238188</v>
      </c>
      <c r="V75" t="str" s="3">
        <f>IF(T75&lt;0,"RUGI SETELAH FEE","OK")</f>
        <v>RUGI SETELAH FEE</v>
      </c>
    </row>
    <row r="76">
      <c r="A76" s="8">
        <v>75</v>
      </c>
      <c r="B76" s="5">
        <v>46288</v>
      </c>
      <c r="C76" s="8" t="s">
        <v>88</v>
      </c>
      <c r="D76" s="3" t="s">
        <v>163</v>
      </c>
      <c r="E76" s="3" t="s">
        <v>50</v>
      </c>
      <c r="F76" t="str" s="3">
        <f>VLOOKUP(E76,'Master Inventory'!$B$2:$L$26,2,FALSE)</f>
        <v>Shampoo Anti Hairfall 300ml</v>
      </c>
      <c r="G76" s="2">
        <v>4</v>
      </c>
      <c r="H76" s="2">
        <v>44500</v>
      </c>
      <c r="I76" s="4">
        <v>0.75</v>
      </c>
      <c r="J76" s="2">
        <v>11100</v>
      </c>
      <c r="K76" s="2">
        <f>J76*G76</f>
        <v>44400</v>
      </c>
      <c r="L76" s="2">
        <f>VLOOKUP(E76,'Master Inventory'!$B$2:$L$26,5,FALSE)</f>
        <v>18000</v>
      </c>
      <c r="M76" s="2">
        <f>L76*G76</f>
        <v>72000</v>
      </c>
      <c r="N76" s="2">
        <f>K76-M76</f>
        <v>-27600</v>
      </c>
      <c r="O76" s="4">
        <f>IFERROR(N76/K76,0)</f>
        <v>-0.621622</v>
      </c>
      <c r="P76" t="str" s="3">
        <f>IF(J76&lt;L76,"BELOW COGS","OK")</f>
        <v>BELOW COGS</v>
      </c>
      <c r="Q76" s="4">
        <v>0.07</v>
      </c>
      <c r="R76" s="2">
        <f>K76*Q76</f>
        <v>3108</v>
      </c>
      <c r="S76" s="2">
        <f>K76-R76</f>
        <v>41292</v>
      </c>
      <c r="T76" s="2">
        <f>S76-M76</f>
        <v>-30708</v>
      </c>
      <c r="U76" s="4">
        <f>IFERROR(T76/S76,0)</f>
        <v>-0.743679</v>
      </c>
      <c r="V76" t="str" s="3">
        <f>IF(T76&lt;0,"RUGI SETELAH FEE","OK")</f>
        <v>RUGI SETELAH FEE</v>
      </c>
    </row>
    <row r="77">
      <c r="A77" s="8">
        <v>76</v>
      </c>
      <c r="B77" s="5">
        <v>46289</v>
      </c>
      <c r="C77" s="8" t="s">
        <v>88</v>
      </c>
      <c r="D77" s="3" t="s">
        <v>164</v>
      </c>
      <c r="E77" s="3" t="s">
        <v>21</v>
      </c>
      <c r="F77" t="str" s="3">
        <f>VLOOKUP(E77,'Master Inventory'!$B$2:$L$26,2,FALSE)</f>
        <v>Serum Niacinamide 10% 20ml</v>
      </c>
      <c r="G77" s="2">
        <v>6</v>
      </c>
      <c r="H77" s="2">
        <v>96000</v>
      </c>
      <c r="I77" s="4">
        <v>0.06</v>
      </c>
      <c r="J77" s="2">
        <v>90200</v>
      </c>
      <c r="K77" s="2">
        <f>J77*G77</f>
        <v>541200</v>
      </c>
      <c r="L77" s="2">
        <f>VLOOKUP(E77,'Master Inventory'!$B$2:$L$26,5,FALSE)</f>
        <v>32000</v>
      </c>
      <c r="M77" s="2">
        <f>L77*G77</f>
        <v>192000</v>
      </c>
      <c r="N77" s="2">
        <f>K77-M77</f>
        <v>349200</v>
      </c>
      <c r="O77" s="4">
        <f>IFERROR(N77/K77,0)</f>
        <v>0.645233</v>
      </c>
      <c r="P77" t="str" s="3">
        <f>IF(J77&lt;L77,"BELOW COGS","OK")</f>
        <v>OK</v>
      </c>
      <c r="Q77" s="4">
        <v>0.07</v>
      </c>
      <c r="R77" s="2">
        <f>K77*Q77</f>
        <v>37884</v>
      </c>
      <c r="S77" s="2">
        <f>K77-R77</f>
        <v>503316</v>
      </c>
      <c r="T77" s="2">
        <f>S77-M77</f>
        <v>311316</v>
      </c>
      <c r="U77" s="4">
        <f>IFERROR(T77/S77,0)</f>
        <v>0.61853</v>
      </c>
      <c r="V77" t="str" s="3">
        <f>IF(T77&lt;0,"RUGI SETELAH FEE","OK")</f>
        <v>OK</v>
      </c>
    </row>
    <row r="78">
      <c r="A78" s="8">
        <v>77</v>
      </c>
      <c r="B78" s="5">
        <v>46289</v>
      </c>
      <c r="C78" s="8" t="s">
        <v>88</v>
      </c>
      <c r="D78" s="3" t="s">
        <v>165</v>
      </c>
      <c r="E78" s="3" t="s">
        <v>65</v>
      </c>
      <c r="F78" t="str" s="3">
        <f>VLOOKUP(E78,'Master Inventory'!$B$2:$L$26,2,FALSE)</f>
        <v>Eau de Toilette 30ml</v>
      </c>
      <c r="G78" s="2">
        <v>6</v>
      </c>
      <c r="H78" s="2">
        <v>185000</v>
      </c>
      <c r="I78" s="4">
        <v>0.57</v>
      </c>
      <c r="J78" s="2">
        <v>79600</v>
      </c>
      <c r="K78" s="2">
        <f>J78*G78</f>
        <v>477600</v>
      </c>
      <c r="L78" s="2">
        <f>VLOOKUP(E78,'Master Inventory'!$B$2:$L$26,5,FALSE)</f>
        <v>55000</v>
      </c>
      <c r="M78" s="2">
        <f>L78*G78</f>
        <v>330000</v>
      </c>
      <c r="N78" s="2">
        <f>K78-M78</f>
        <v>147600</v>
      </c>
      <c r="O78" s="4">
        <f>IFERROR(N78/K78,0)</f>
        <v>0.309045</v>
      </c>
      <c r="P78" t="str" s="3">
        <f>IF(J78&lt;L78,"BELOW COGS","OK")</f>
        <v>OK</v>
      </c>
      <c r="Q78" s="4">
        <v>0.07</v>
      </c>
      <c r="R78" s="2">
        <f>K78*Q78</f>
        <v>33432</v>
      </c>
      <c r="S78" s="2">
        <f>K78-R78</f>
        <v>444168</v>
      </c>
      <c r="T78" s="2">
        <f>S78-M78</f>
        <v>114168</v>
      </c>
      <c r="U78" s="4">
        <f>IFERROR(T78/S78,0)</f>
        <v>0.257038</v>
      </c>
      <c r="V78" t="str" s="3">
        <f>IF(T78&lt;0,"RUGI SETELAH FEE","OK")</f>
        <v>OK</v>
      </c>
    </row>
    <row r="79">
      <c r="A79" s="8">
        <v>78</v>
      </c>
      <c r="B79" s="5">
        <v>46290</v>
      </c>
      <c r="C79" s="8" t="s">
        <v>88</v>
      </c>
      <c r="D79" s="3" t="s">
        <v>166</v>
      </c>
      <c r="E79" s="3" t="s">
        <v>37</v>
      </c>
      <c r="F79" t="str" s="3">
        <f>VLOOKUP(E79,'Master Inventory'!$B$2:$L$26,2,FALSE)</f>
        <v>Cushion Foundation SPF35</v>
      </c>
      <c r="G79" s="2">
        <v>1</v>
      </c>
      <c r="H79" s="2">
        <v>124000</v>
      </c>
      <c r="I79" s="4">
        <v>0.74</v>
      </c>
      <c r="J79" s="2">
        <v>32200</v>
      </c>
      <c r="K79" s="2">
        <f>J79*G79</f>
        <v>32200</v>
      </c>
      <c r="L79" s="2">
        <f>VLOOKUP(E79,'Master Inventory'!$B$2:$L$26,5,FALSE)</f>
        <v>45000</v>
      </c>
      <c r="M79" s="2">
        <f>L79*G79</f>
        <v>45000</v>
      </c>
      <c r="N79" s="2">
        <f>K79-M79</f>
        <v>-12800</v>
      </c>
      <c r="O79" s="4">
        <f>IFERROR(N79/K79,0)</f>
        <v>-0.397516</v>
      </c>
      <c r="P79" t="str" s="3">
        <f>IF(J79&lt;L79,"BELOW COGS","OK")</f>
        <v>BELOW COGS</v>
      </c>
      <c r="Q79" s="4">
        <v>0.07</v>
      </c>
      <c r="R79" s="2">
        <f>K79*Q79</f>
        <v>2254</v>
      </c>
      <c r="S79" s="2">
        <f>K79-R79</f>
        <v>29946</v>
      </c>
      <c r="T79" s="2">
        <f>S79-M79</f>
        <v>-15054</v>
      </c>
      <c r="U79" s="4">
        <f>IFERROR(T79/S79,0)</f>
        <v>-0.502705</v>
      </c>
      <c r="V79" t="str" s="3">
        <f>IF(T79&lt;0,"RUGI SETELAH FEE","OK")</f>
        <v>RUGI SETELAH FEE</v>
      </c>
    </row>
    <row r="80">
      <c r="A80" s="8">
        <v>79</v>
      </c>
      <c r="B80" s="5">
        <v>46290</v>
      </c>
      <c r="C80" s="8" t="s">
        <v>88</v>
      </c>
      <c r="D80" s="3" t="s">
        <v>167</v>
      </c>
      <c r="E80" s="3" t="s">
        <v>52</v>
      </c>
      <c r="F80" t="str" s="3">
        <f>VLOOKUP(E80,'Master Inventory'!$B$2:$L$26,2,FALSE)</f>
        <v>Conditioner Repair 300ml</v>
      </c>
      <c r="G80" s="2">
        <v>4</v>
      </c>
      <c r="H80" s="2">
        <v>53500</v>
      </c>
      <c r="I80" s="4">
        <v>0.07</v>
      </c>
      <c r="J80" s="2">
        <v>49800</v>
      </c>
      <c r="K80" s="2">
        <f>J80*G80</f>
        <v>199200</v>
      </c>
      <c r="L80" s="2">
        <f>VLOOKUP(E80,'Master Inventory'!$B$2:$L$26,5,FALSE)</f>
        <v>18000</v>
      </c>
      <c r="M80" s="2">
        <f>L80*G80</f>
        <v>72000</v>
      </c>
      <c r="N80" s="2">
        <f>K80-M80</f>
        <v>127200</v>
      </c>
      <c r="O80" s="4">
        <f>IFERROR(N80/K80,0)</f>
        <v>0.638554</v>
      </c>
      <c r="P80" t="str" s="3">
        <f>IF(J80&lt;L80,"BELOW COGS","OK")</f>
        <v>OK</v>
      </c>
      <c r="Q80" s="4">
        <v>0.07</v>
      </c>
      <c r="R80" s="2">
        <f>K80*Q80</f>
        <v>13944</v>
      </c>
      <c r="S80" s="2">
        <f>K80-R80</f>
        <v>185256</v>
      </c>
      <c r="T80" s="2">
        <f>S80-M80</f>
        <v>113256</v>
      </c>
      <c r="U80" s="4">
        <f>IFERROR(T80/S80,0)</f>
        <v>0.611349</v>
      </c>
      <c r="V80" t="str" s="3">
        <f>IF(T80&lt;0,"RUGI SETELAH FEE","OK")</f>
        <v>OK</v>
      </c>
    </row>
    <row r="81">
      <c r="A81" s="8">
        <v>80</v>
      </c>
      <c r="B81" s="5">
        <v>46290</v>
      </c>
      <c r="C81" s="8" t="s">
        <v>88</v>
      </c>
      <c r="D81" s="3" t="s">
        <v>168</v>
      </c>
      <c r="E81" s="3" t="s">
        <v>32</v>
      </c>
      <c r="F81" t="str" s="3">
        <f>VLOOKUP(E81,'Master Inventory'!$B$2:$L$26,2,FALSE)</f>
        <v>Lip Tint Velvet Matte</v>
      </c>
      <c r="G81" s="2">
        <v>3</v>
      </c>
      <c r="H81" s="2">
        <v>40000</v>
      </c>
      <c r="I81" s="4">
        <v>0.3</v>
      </c>
      <c r="J81" s="2">
        <v>28000</v>
      </c>
      <c r="K81" s="2">
        <f>J81*G81</f>
        <v>84000</v>
      </c>
      <c r="L81" s="2">
        <f>VLOOKUP(E81,'Master Inventory'!$B$2:$L$26,5,FALSE)</f>
        <v>14000</v>
      </c>
      <c r="M81" s="2">
        <f>L81*G81</f>
        <v>42000</v>
      </c>
      <c r="N81" s="2">
        <f>K81-M81</f>
        <v>42000</v>
      </c>
      <c r="O81" s="4">
        <f>IFERROR(N81/K81,0)</f>
        <v>0.5</v>
      </c>
      <c r="P81" t="str" s="3">
        <f>IF(J81&lt;L81,"BELOW COGS","OK")</f>
        <v>OK</v>
      </c>
      <c r="Q81" s="4">
        <v>0.07</v>
      </c>
      <c r="R81" s="2">
        <f>K81*Q81</f>
        <v>5880</v>
      </c>
      <c r="S81" s="2">
        <f>K81-R81</f>
        <v>78120</v>
      </c>
      <c r="T81" s="2">
        <f>S81-M81</f>
        <v>36120</v>
      </c>
      <c r="U81" s="4">
        <f>IFERROR(T81/S81,0)</f>
        <v>0.462366</v>
      </c>
      <c r="V81" t="str" s="3">
        <f>IF(T81&lt;0,"RUGI SETELAH FEE","OK")</f>
        <v>OK</v>
      </c>
    </row>
    <row r="82">
      <c r="A82" s="8">
        <v>81</v>
      </c>
      <c r="B82" s="5">
        <v>46290</v>
      </c>
      <c r="C82" s="8" t="s">
        <v>88</v>
      </c>
      <c r="D82" s="3" t="s">
        <v>169</v>
      </c>
      <c r="E82" s="3" t="s">
        <v>45</v>
      </c>
      <c r="F82" t="str" s="3">
        <f>VLOOKUP(E82,'Master Inventory'!$B$2:$L$26,2,FALSE)</f>
        <v>Makeup Setting Spray 100ml</v>
      </c>
      <c r="G82" s="2">
        <v>5</v>
      </c>
      <c r="H82" s="2">
        <v>69000</v>
      </c>
      <c r="I82" s="4">
        <v>0.03</v>
      </c>
      <c r="J82" s="2">
        <v>66900</v>
      </c>
      <c r="K82" s="2">
        <f>J82*G82</f>
        <v>334500</v>
      </c>
      <c r="L82" s="2">
        <f>VLOOKUP(E82,'Master Inventory'!$B$2:$L$26,5,FALSE)</f>
        <v>22000</v>
      </c>
      <c r="M82" s="2">
        <f>L82*G82</f>
        <v>110000</v>
      </c>
      <c r="N82" s="2">
        <f>K82-M82</f>
        <v>224500</v>
      </c>
      <c r="O82" s="4">
        <f>IFERROR(N82/K82,0)</f>
        <v>0.671151</v>
      </c>
      <c r="P82" t="str" s="3">
        <f>IF(J82&lt;L82,"BELOW COGS","OK")</f>
        <v>OK</v>
      </c>
      <c r="Q82" s="4">
        <v>0.07</v>
      </c>
      <c r="R82" s="2">
        <f>K82*Q82</f>
        <v>23415</v>
      </c>
      <c r="S82" s="2">
        <f>K82-R82</f>
        <v>311085</v>
      </c>
      <c r="T82" s="2">
        <f>S82-M82</f>
        <v>201085</v>
      </c>
      <c r="U82" s="4">
        <f>IFERROR(T82/S82,0)</f>
        <v>0.646399</v>
      </c>
      <c r="V82" t="str" s="3">
        <f>IF(T82&lt;0,"RUGI SETELAH FEE","OK")</f>
        <v>OK</v>
      </c>
    </row>
    <row r="83">
      <c r="A83" s="8">
        <v>82</v>
      </c>
      <c r="B83" s="5">
        <v>46290</v>
      </c>
      <c r="C83" s="8" t="s">
        <v>88</v>
      </c>
      <c r="D83" s="3" t="s">
        <v>170</v>
      </c>
      <c r="E83" s="3" t="s">
        <v>54</v>
      </c>
      <c r="F83" t="str" s="3">
        <f>VLOOKUP(E83,'Master Inventory'!$B$2:$L$26,2,FALSE)</f>
        <v>Hair Mist Perfume 100ml</v>
      </c>
      <c r="G83" s="2">
        <v>6</v>
      </c>
      <c r="H83" s="2">
        <v>53500</v>
      </c>
      <c r="I83" s="4">
        <v>0.05</v>
      </c>
      <c r="J83" s="2">
        <v>50800</v>
      </c>
      <c r="K83" s="2">
        <f>J83*G83</f>
        <v>304800</v>
      </c>
      <c r="L83" s="2">
        <f>VLOOKUP(E83,'Master Inventory'!$B$2:$L$26,5,FALSE)</f>
        <v>20000</v>
      </c>
      <c r="M83" s="2">
        <f>L83*G83</f>
        <v>120000</v>
      </c>
      <c r="N83" s="2">
        <f>K83-M83</f>
        <v>184800</v>
      </c>
      <c r="O83" s="4">
        <f>IFERROR(N83/K83,0)</f>
        <v>0.606299</v>
      </c>
      <c r="P83" t="str" s="3">
        <f>IF(J83&lt;L83,"BELOW COGS","OK")</f>
        <v>OK</v>
      </c>
      <c r="Q83" s="4">
        <v>0.07</v>
      </c>
      <c r="R83" s="2">
        <f>K83*Q83</f>
        <v>21336</v>
      </c>
      <c r="S83" s="2">
        <f>K83-R83</f>
        <v>283464</v>
      </c>
      <c r="T83" s="2">
        <f>S83-M83</f>
        <v>163464</v>
      </c>
      <c r="U83" s="4">
        <f>IFERROR(T83/S83,0)</f>
        <v>0.576666</v>
      </c>
      <c r="V83" t="str" s="3">
        <f>IF(T83&lt;0,"RUGI SETELAH FEE","OK")</f>
        <v>OK</v>
      </c>
    </row>
    <row r="84">
      <c r="A84" s="8">
        <v>83</v>
      </c>
      <c r="B84" s="5">
        <v>46291</v>
      </c>
      <c r="C84" s="8" t="s">
        <v>88</v>
      </c>
      <c r="D84" s="3" t="s">
        <v>171</v>
      </c>
      <c r="E84" s="3" t="s">
        <v>12</v>
      </c>
      <c r="F84" t="str" s="3">
        <f>VLOOKUP(E84,'Master Inventory'!$B$2:$L$26,2,FALSE)</f>
        <v>Facial Wash Gentle Foam 100ml</v>
      </c>
      <c r="G84" s="2">
        <v>2</v>
      </c>
      <c r="H84" s="2">
        <v>47000</v>
      </c>
      <c r="I84" s="4">
        <v>0.59</v>
      </c>
      <c r="J84" s="2">
        <v>19300</v>
      </c>
      <c r="K84" s="2">
        <f>J84*G84</f>
        <v>38600</v>
      </c>
      <c r="L84" s="2">
        <f>VLOOKUP(E84,'Master Inventory'!$B$2:$L$26,5,FALSE)</f>
        <v>16000</v>
      </c>
      <c r="M84" s="2">
        <f>L84*G84</f>
        <v>32000</v>
      </c>
      <c r="N84" s="2">
        <f>K84-M84</f>
        <v>6600</v>
      </c>
      <c r="O84" s="4">
        <f>IFERROR(N84/K84,0)</f>
        <v>0.170984</v>
      </c>
      <c r="P84" t="str" s="3">
        <f>IF(J84&lt;L84,"BELOW COGS","OK")</f>
        <v>OK</v>
      </c>
      <c r="Q84" s="4">
        <v>0.07</v>
      </c>
      <c r="R84" s="2">
        <f>K84*Q84</f>
        <v>2702</v>
      </c>
      <c r="S84" s="2">
        <f>K84-R84</f>
        <v>35898</v>
      </c>
      <c r="T84" s="2">
        <f>S84-M84</f>
        <v>3898</v>
      </c>
      <c r="U84" s="4">
        <f>IFERROR(T84/S84,0)</f>
        <v>0.108585</v>
      </c>
      <c r="V84" t="str" s="3">
        <f>IF(T84&lt;0,"RUGI SETELAH FEE","OK")</f>
        <v>OK</v>
      </c>
    </row>
    <row r="85">
      <c r="A85" s="8">
        <v>84</v>
      </c>
      <c r="B85" s="5">
        <v>46291</v>
      </c>
      <c r="C85" s="8" t="s">
        <v>88</v>
      </c>
      <c r="D85" s="3" t="s">
        <v>172</v>
      </c>
      <c r="E85" s="3" t="s">
        <v>63</v>
      </c>
      <c r="F85" t="str" s="3">
        <f>VLOOKUP(E85,'Master Inventory'!$B$2:$L$26,2,FALSE)</f>
        <v>Body Mist Fresh Bloom 100ml</v>
      </c>
      <c r="G85" s="2">
        <v>1</v>
      </c>
      <c r="H85" s="2">
        <v>53500</v>
      </c>
      <c r="I85" s="4">
        <v>0.66</v>
      </c>
      <c r="J85" s="2">
        <v>18200</v>
      </c>
      <c r="K85" s="2">
        <f>J85*G85</f>
        <v>18200</v>
      </c>
      <c r="L85" s="2">
        <f>VLOOKUP(E85,'Master Inventory'!$B$2:$L$26,5,FALSE)</f>
        <v>19000</v>
      </c>
      <c r="M85" s="2">
        <f>L85*G85</f>
        <v>19000</v>
      </c>
      <c r="N85" s="2">
        <f>K85-M85</f>
        <v>-800</v>
      </c>
      <c r="O85" s="4">
        <f>IFERROR(N85/K85,0)</f>
        <v>-0.043956</v>
      </c>
      <c r="P85" t="str" s="3">
        <f>IF(J85&lt;L85,"BELOW COGS","OK")</f>
        <v>BELOW COGS</v>
      </c>
      <c r="Q85" s="4">
        <v>0.07</v>
      </c>
      <c r="R85" s="2">
        <f>K85*Q85</f>
        <v>1274</v>
      </c>
      <c r="S85" s="2">
        <f>K85-R85</f>
        <v>16926</v>
      </c>
      <c r="T85" s="2">
        <f>S85-M85</f>
        <v>-2074</v>
      </c>
      <c r="U85" s="4">
        <f>IFERROR(T85/S85,0)</f>
        <v>-0.122533</v>
      </c>
      <c r="V85" t="str" s="3">
        <f>IF(T85&lt;0,"RUGI SETELAH FEE","OK")</f>
        <v>RUGI SETELAH FEE</v>
      </c>
    </row>
    <row r="86">
      <c r="A86" s="8">
        <v>85</v>
      </c>
      <c r="B86" s="5">
        <v>46291</v>
      </c>
      <c r="C86" s="8" t="s">
        <v>88</v>
      </c>
      <c r="D86" s="3" t="s">
        <v>173</v>
      </c>
      <c r="E86" s="3" t="s">
        <v>65</v>
      </c>
      <c r="F86" t="str" s="3">
        <f>VLOOKUP(E86,'Master Inventory'!$B$2:$L$26,2,FALSE)</f>
        <v>Eau de Toilette 30ml</v>
      </c>
      <c r="G86" s="2">
        <v>2</v>
      </c>
      <c r="H86" s="2">
        <v>184500</v>
      </c>
      <c r="I86" s="4">
        <v>0.7</v>
      </c>
      <c r="J86" s="2">
        <v>55400</v>
      </c>
      <c r="K86" s="2">
        <f>J86*G86</f>
        <v>110800</v>
      </c>
      <c r="L86" s="2">
        <f>VLOOKUP(E86,'Master Inventory'!$B$2:$L$26,5,FALSE)</f>
        <v>55000</v>
      </c>
      <c r="M86" s="2">
        <f>L86*G86</f>
        <v>110000</v>
      </c>
      <c r="N86" s="2">
        <f>K86-M86</f>
        <v>800</v>
      </c>
      <c r="O86" s="4">
        <f>IFERROR(N86/K86,0)</f>
        <v>0.00722</v>
      </c>
      <c r="P86" t="str" s="3">
        <f>IF(J86&lt;L86,"BELOW COGS","OK")</f>
        <v>OK</v>
      </c>
      <c r="Q86" s="4">
        <v>0.07</v>
      </c>
      <c r="R86" s="2">
        <f>K86*Q86</f>
        <v>7756</v>
      </c>
      <c r="S86" s="2">
        <f>K86-R86</f>
        <v>103044</v>
      </c>
      <c r="T86" s="2">
        <f>S86-M86</f>
        <v>-6956</v>
      </c>
      <c r="U86" s="4">
        <f>IFERROR(T86/S86,0)</f>
        <v>-0.067505</v>
      </c>
      <c r="V86" t="str" s="3">
        <f>IF(T86&lt;0,"RUGI SETELAH FEE","OK")</f>
        <v>RUGI SETELAH FEE</v>
      </c>
    </row>
    <row r="87">
      <c r="A87" s="8">
        <v>86</v>
      </c>
      <c r="B87" s="5">
        <v>46292</v>
      </c>
      <c r="C87" s="8" t="s">
        <v>88</v>
      </c>
      <c r="D87" s="3" t="s">
        <v>174</v>
      </c>
      <c r="E87" s="3" t="s">
        <v>39</v>
      </c>
      <c r="F87" t="str" s="3">
        <f>VLOOKUP(E87,'Master Inventory'!$B$2:$L$26,2,FALSE)</f>
        <v>Compact Powder Matte Finish</v>
      </c>
      <c r="G87" s="2">
        <v>2</v>
      </c>
      <c r="H87" s="2">
        <v>67000</v>
      </c>
      <c r="I87" s="4">
        <v>0.61</v>
      </c>
      <c r="J87" s="2">
        <v>26100</v>
      </c>
      <c r="K87" s="2">
        <f>J87*G87</f>
        <v>52200</v>
      </c>
      <c r="L87" s="2">
        <f>VLOOKUP(E87,'Master Inventory'!$B$2:$L$26,5,FALSE)</f>
        <v>25000</v>
      </c>
      <c r="M87" s="2">
        <f>L87*G87</f>
        <v>50000</v>
      </c>
      <c r="N87" s="2">
        <f>K87-M87</f>
        <v>2200</v>
      </c>
      <c r="O87" s="4">
        <f>IFERROR(N87/K87,0)</f>
        <v>0.042146</v>
      </c>
      <c r="P87" t="str" s="3">
        <f>IF(J87&lt;L87,"BELOW COGS","OK")</f>
        <v>OK</v>
      </c>
      <c r="Q87" s="4">
        <v>0.07</v>
      </c>
      <c r="R87" s="2">
        <f>K87*Q87</f>
        <v>3654</v>
      </c>
      <c r="S87" s="2">
        <f>K87-R87</f>
        <v>48546</v>
      </c>
      <c r="T87" s="2">
        <f>S87-M87</f>
        <v>-1454</v>
      </c>
      <c r="U87" s="4">
        <f>IFERROR(T87/S87,0)</f>
        <v>-0.029951</v>
      </c>
      <c r="V87" t="str" s="3">
        <f>IF(T87&lt;0,"RUGI SETELAH FEE","OK")</f>
        <v>RUGI SETELAH FEE</v>
      </c>
    </row>
    <row r="88">
      <c r="A88" s="8">
        <v>87</v>
      </c>
      <c r="B88" s="5">
        <v>46292</v>
      </c>
      <c r="C88" s="8" t="s">
        <v>88</v>
      </c>
      <c r="D88" s="3" t="s">
        <v>175</v>
      </c>
      <c r="E88" s="3" t="s">
        <v>17</v>
      </c>
      <c r="F88" t="str" s="3">
        <f>VLOOKUP(E88,'Master Inventory'!$B$2:$L$26,2,FALSE)</f>
        <v>Toner Hydrating Rose 150ml</v>
      </c>
      <c r="G88" s="2">
        <v>3</v>
      </c>
      <c r="H88" s="2">
        <v>58000</v>
      </c>
      <c r="I88" s="4">
        <v>0.76</v>
      </c>
      <c r="J88" s="2">
        <v>13900</v>
      </c>
      <c r="K88" s="2">
        <f>J88*G88</f>
        <v>41700</v>
      </c>
      <c r="L88" s="2">
        <f>VLOOKUP(E88,'Master Inventory'!$B$2:$L$26,5,FALSE)</f>
        <v>22000</v>
      </c>
      <c r="M88" s="2">
        <f>L88*G88</f>
        <v>66000</v>
      </c>
      <c r="N88" s="2">
        <f>K88-M88</f>
        <v>-24300</v>
      </c>
      <c r="O88" s="4">
        <f>IFERROR(N88/K88,0)</f>
        <v>-0.582734</v>
      </c>
      <c r="P88" t="str" s="3">
        <f>IF(J88&lt;L88,"BELOW COGS","OK")</f>
        <v>BELOW COGS</v>
      </c>
      <c r="Q88" s="4">
        <v>0.07</v>
      </c>
      <c r="R88" s="2">
        <f>K88*Q88</f>
        <v>2919</v>
      </c>
      <c r="S88" s="2">
        <f>K88-R88</f>
        <v>38781</v>
      </c>
      <c r="T88" s="2">
        <f>S88-M88</f>
        <v>-27219</v>
      </c>
      <c r="U88" s="4">
        <f>IFERROR(T88/S88,0)</f>
        <v>-0.701864</v>
      </c>
      <c r="V88" t="str" s="3">
        <f>IF(T88&lt;0,"RUGI SETELAH FEE","OK")</f>
        <v>RUGI SETELAH FEE</v>
      </c>
    </row>
    <row r="89">
      <c r="A89" s="8">
        <v>88</v>
      </c>
      <c r="B89" s="5">
        <v>46292</v>
      </c>
      <c r="C89" s="8" t="s">
        <v>88</v>
      </c>
      <c r="D89" s="3" t="s">
        <v>176</v>
      </c>
      <c r="E89" s="3" t="s">
        <v>35</v>
      </c>
      <c r="F89" t="str" s="3">
        <f>VLOOKUP(E89,'Master Inventory'!$B$2:$L$26,2,FALSE)</f>
        <v>Lip Cream Matte Long Lasting</v>
      </c>
      <c r="G89" s="2">
        <v>2</v>
      </c>
      <c r="H89" s="2">
        <v>38500</v>
      </c>
      <c r="I89" s="4">
        <v>0.08</v>
      </c>
      <c r="J89" s="2">
        <v>35400</v>
      </c>
      <c r="K89" s="2">
        <f>J89*G89</f>
        <v>70800</v>
      </c>
      <c r="L89" s="2">
        <f>VLOOKUP(E89,'Master Inventory'!$B$2:$L$26,5,FALSE)</f>
        <v>15000</v>
      </c>
      <c r="M89" s="2">
        <f>L89*G89</f>
        <v>30000</v>
      </c>
      <c r="N89" s="2">
        <f>K89-M89</f>
        <v>40800</v>
      </c>
      <c r="O89" s="4">
        <f>IFERROR(N89/K89,0)</f>
        <v>0.576271</v>
      </c>
      <c r="P89" t="str" s="3">
        <f>IF(J89&lt;L89,"BELOW COGS","OK")</f>
        <v>OK</v>
      </c>
      <c r="Q89" s="4">
        <v>0.07</v>
      </c>
      <c r="R89" s="2">
        <f>K89*Q89</f>
        <v>4956</v>
      </c>
      <c r="S89" s="2">
        <f>K89-R89</f>
        <v>65844</v>
      </c>
      <c r="T89" s="2">
        <f>S89-M89</f>
        <v>35844</v>
      </c>
      <c r="U89" s="4">
        <f>IFERROR(T89/S89,0)</f>
        <v>0.544378</v>
      </c>
      <c r="V89" t="str" s="3">
        <f>IF(T89&lt;0,"RUGI SETELAH FEE","OK")</f>
        <v>OK</v>
      </c>
    </row>
    <row r="90">
      <c r="A90" s="8">
        <v>89</v>
      </c>
      <c r="B90" s="5">
        <v>46293</v>
      </c>
      <c r="C90" s="8" t="s">
        <v>88</v>
      </c>
      <c r="D90" s="3" t="s">
        <v>177</v>
      </c>
      <c r="E90" s="3" t="s">
        <v>56</v>
      </c>
      <c r="F90" t="str" s="3">
        <f>VLOOKUP(E90,'Master Inventory'!$B$2:$L$26,2,FALSE)</f>
        <v>Hair Vitamin Ampoule (Box 6pcs)</v>
      </c>
      <c r="G90" s="2">
        <v>4</v>
      </c>
      <c r="H90" s="2">
        <v>78500</v>
      </c>
      <c r="I90" s="4">
        <v>0.06</v>
      </c>
      <c r="J90" s="2">
        <v>73800</v>
      </c>
      <c r="K90" s="2">
        <f>J90*G90</f>
        <v>295200</v>
      </c>
      <c r="L90" s="2">
        <f>VLOOKUP(E90,'Master Inventory'!$B$2:$L$26,5,FALSE)</f>
        <v>26000</v>
      </c>
      <c r="M90" s="2">
        <f>L90*G90</f>
        <v>104000</v>
      </c>
      <c r="N90" s="2">
        <f>K90-M90</f>
        <v>191200</v>
      </c>
      <c r="O90" s="4">
        <f>IFERROR(N90/K90,0)</f>
        <v>0.647696</v>
      </c>
      <c r="P90" t="str" s="3">
        <f>IF(J90&lt;L90,"BELOW COGS","OK")</f>
        <v>OK</v>
      </c>
      <c r="Q90" s="4">
        <v>0.07</v>
      </c>
      <c r="R90" s="2">
        <f>K90*Q90</f>
        <v>20664</v>
      </c>
      <c r="S90" s="2">
        <f>K90-R90</f>
        <v>274536</v>
      </c>
      <c r="T90" s="2">
        <f>S90-M90</f>
        <v>170536</v>
      </c>
      <c r="U90" s="4">
        <f>IFERROR(T90/S90,0)</f>
        <v>0.621179</v>
      </c>
      <c r="V90" t="str" s="3">
        <f>IF(T90&lt;0,"RUGI SETELAH FEE","OK")</f>
        <v>OK</v>
      </c>
    </row>
    <row r="91">
      <c r="A91" s="8">
        <v>90</v>
      </c>
      <c r="B91" s="5">
        <v>46293</v>
      </c>
      <c r="C91" s="8" t="s">
        <v>88</v>
      </c>
      <c r="D91" s="3" t="s">
        <v>178</v>
      </c>
      <c r="E91" s="3" t="s">
        <v>65</v>
      </c>
      <c r="F91" t="str" s="3">
        <f>VLOOKUP(E91,'Master Inventory'!$B$2:$L$26,2,FALSE)</f>
        <v>Eau de Toilette 30ml</v>
      </c>
      <c r="G91" s="2">
        <v>1</v>
      </c>
      <c r="H91" s="2">
        <v>185000</v>
      </c>
      <c r="I91" s="4">
        <v>0.01</v>
      </c>
      <c r="J91" s="2">
        <v>183200</v>
      </c>
      <c r="K91" s="2">
        <f>J91*G91</f>
        <v>183200</v>
      </c>
      <c r="L91" s="2">
        <f>VLOOKUP(E91,'Master Inventory'!$B$2:$L$26,5,FALSE)</f>
        <v>55000</v>
      </c>
      <c r="M91" s="2">
        <f>L91*G91</f>
        <v>55000</v>
      </c>
      <c r="N91" s="2">
        <f>K91-M91</f>
        <v>128200</v>
      </c>
      <c r="O91" s="4">
        <f>IFERROR(N91/K91,0)</f>
        <v>0.699782</v>
      </c>
      <c r="P91" t="str" s="3">
        <f>IF(J91&lt;L91,"BELOW COGS","OK")</f>
        <v>OK</v>
      </c>
      <c r="Q91" s="4">
        <v>0.07</v>
      </c>
      <c r="R91" s="2">
        <f>K91*Q91</f>
        <v>12824</v>
      </c>
      <c r="S91" s="2">
        <f>K91-R91</f>
        <v>170376</v>
      </c>
      <c r="T91" s="2">
        <f>S91-M91</f>
        <v>115376</v>
      </c>
      <c r="U91" s="4">
        <f>IFERROR(T91/S91,0)</f>
        <v>0.677185</v>
      </c>
      <c r="V91" t="str" s="3">
        <f>IF(T91&lt;0,"RUGI SETELAH FEE","OK")</f>
        <v>OK</v>
      </c>
    </row>
    <row r="92">
      <c r="A92" s="8">
        <v>91</v>
      </c>
      <c r="B92" s="5">
        <v>46293</v>
      </c>
      <c r="C92" s="8" t="s">
        <v>88</v>
      </c>
      <c r="D92" s="3" t="s">
        <v>179</v>
      </c>
      <c r="E92" s="3" t="s">
        <v>17</v>
      </c>
      <c r="F92" t="str" s="3">
        <f>VLOOKUP(E92,'Master Inventory'!$B$2:$L$26,2,FALSE)</f>
        <v>Toner Hydrating Rose 150ml</v>
      </c>
      <c r="G92" s="2">
        <v>3</v>
      </c>
      <c r="H92" s="2">
        <v>55500</v>
      </c>
      <c r="I92" s="4">
        <v>0.57</v>
      </c>
      <c r="J92" s="2">
        <v>23900</v>
      </c>
      <c r="K92" s="2">
        <f>J92*G92</f>
        <v>71700</v>
      </c>
      <c r="L92" s="2">
        <f>VLOOKUP(E92,'Master Inventory'!$B$2:$L$26,5,FALSE)</f>
        <v>22000</v>
      </c>
      <c r="M92" s="2">
        <f>L92*G92</f>
        <v>66000</v>
      </c>
      <c r="N92" s="2">
        <f>K92-M92</f>
        <v>5700</v>
      </c>
      <c r="O92" s="4">
        <f>IFERROR(N92/K92,0)</f>
        <v>0.079498</v>
      </c>
      <c r="P92" t="str" s="3">
        <f>IF(J92&lt;L92,"BELOW COGS","OK")</f>
        <v>OK</v>
      </c>
      <c r="Q92" s="4">
        <v>0.07</v>
      </c>
      <c r="R92" s="2">
        <f>K92*Q92</f>
        <v>5019</v>
      </c>
      <c r="S92" s="2">
        <f>K92-R92</f>
        <v>66681</v>
      </c>
      <c r="T92" s="2">
        <f>S92-M92</f>
        <v>681</v>
      </c>
      <c r="U92" s="4">
        <f>IFERROR(T92/S92,0)</f>
        <v>0.010213</v>
      </c>
      <c r="V92" t="str" s="3">
        <f>IF(T92&lt;0,"RUGI SETELAH FEE","OK")</f>
        <v>OK</v>
      </c>
    </row>
    <row r="93">
      <c r="A93" s="8">
        <v>92</v>
      </c>
      <c r="B93" s="5">
        <v>46293</v>
      </c>
      <c r="C93" s="8" t="s">
        <v>88</v>
      </c>
      <c r="D93" s="3" t="s">
        <v>180</v>
      </c>
      <c r="E93" s="3" t="s">
        <v>68</v>
      </c>
      <c r="F93" t="str" s="3">
        <f>VLOOKUP(E93,'Master Inventory'!$B$2:$L$26,2,FALSE)</f>
        <v>Eau de Parfum 50ml</v>
      </c>
      <c r="G93" s="2">
        <v>1</v>
      </c>
      <c r="H93" s="2">
        <v>256500</v>
      </c>
      <c r="I93" s="4">
        <v>0.05</v>
      </c>
      <c r="J93" s="2">
        <v>243700</v>
      </c>
      <c r="K93" s="2">
        <f>J93*G93</f>
        <v>243700</v>
      </c>
      <c r="L93" s="2">
        <f>VLOOKUP(E93,'Master Inventory'!$B$2:$L$26,5,FALSE)</f>
        <v>85000</v>
      </c>
      <c r="M93" s="2">
        <f>L93*G93</f>
        <v>85000</v>
      </c>
      <c r="N93" s="2">
        <f>K93-M93</f>
        <v>158700</v>
      </c>
      <c r="O93" s="4">
        <f>IFERROR(N93/K93,0)</f>
        <v>0.651211</v>
      </c>
      <c r="P93" t="str" s="3">
        <f>IF(J93&lt;L93,"BELOW COGS","OK")</f>
        <v>OK</v>
      </c>
      <c r="Q93" s="4">
        <v>0.07</v>
      </c>
      <c r="R93" s="2">
        <f>K93*Q93</f>
        <v>17059</v>
      </c>
      <c r="S93" s="2">
        <f>K93-R93</f>
        <v>226641</v>
      </c>
      <c r="T93" s="2">
        <f>S93-M93</f>
        <v>141641</v>
      </c>
      <c r="U93" s="4">
        <f>IFERROR(T93/S93,0)</f>
        <v>0.624958</v>
      </c>
      <c r="V93" t="str" s="3">
        <f>IF(T93&lt;0,"RUGI SETELAH FEE","OK")</f>
        <v>OK</v>
      </c>
    </row>
    <row r="94">
      <c r="A94" s="8">
        <v>93</v>
      </c>
      <c r="B94" s="5">
        <v>46294</v>
      </c>
      <c r="C94" s="8" t="s">
        <v>88</v>
      </c>
      <c r="D94" s="3" t="s">
        <v>181</v>
      </c>
      <c r="E94" s="3" t="s">
        <v>65</v>
      </c>
      <c r="F94" t="str" s="3">
        <f>VLOOKUP(E94,'Master Inventory'!$B$2:$L$26,2,FALSE)</f>
        <v>Eau de Toilette 30ml</v>
      </c>
      <c r="G94" s="2">
        <v>3</v>
      </c>
      <c r="H94" s="2">
        <v>196000</v>
      </c>
      <c r="I94" s="4">
        <v>0.04</v>
      </c>
      <c r="J94" s="2">
        <v>188200</v>
      </c>
      <c r="K94" s="2">
        <f>J94*G94</f>
        <v>564600</v>
      </c>
      <c r="L94" s="2">
        <f>VLOOKUP(E94,'Master Inventory'!$B$2:$L$26,5,FALSE)</f>
        <v>55000</v>
      </c>
      <c r="M94" s="2">
        <f>L94*G94</f>
        <v>165000</v>
      </c>
      <c r="N94" s="2">
        <f>K94-M94</f>
        <v>399600</v>
      </c>
      <c r="O94" s="4">
        <f>IFERROR(N94/K94,0)</f>
        <v>0.707758</v>
      </c>
      <c r="P94" t="str" s="3">
        <f>IF(J94&lt;L94,"BELOW COGS","OK")</f>
        <v>OK</v>
      </c>
      <c r="Q94" s="4">
        <v>0.07</v>
      </c>
      <c r="R94" s="2">
        <f>K94*Q94</f>
        <v>39522</v>
      </c>
      <c r="S94" s="2">
        <f>K94-R94</f>
        <v>525078</v>
      </c>
      <c r="T94" s="2">
        <f>S94-M94</f>
        <v>360078</v>
      </c>
      <c r="U94" s="4">
        <f>IFERROR(T94/S94,0)</f>
        <v>0.685761</v>
      </c>
      <c r="V94" t="str" s="3">
        <f>IF(T94&lt;0,"RUGI SETELAH FEE","OK")</f>
        <v>OK</v>
      </c>
    </row>
    <row r="95">
      <c r="A95" s="8">
        <v>94</v>
      </c>
      <c r="B95" s="5">
        <v>46294</v>
      </c>
      <c r="C95" s="8" t="s">
        <v>88</v>
      </c>
      <c r="D95" s="3" t="s">
        <v>182</v>
      </c>
      <c r="E95" s="3" t="s">
        <v>54</v>
      </c>
      <c r="F95" t="str" s="3">
        <f>VLOOKUP(E95,'Master Inventory'!$B$2:$L$26,2,FALSE)</f>
        <v>Hair Mist Perfume 100ml</v>
      </c>
      <c r="G95" s="2">
        <v>5</v>
      </c>
      <c r="H95" s="2">
        <v>58500</v>
      </c>
      <c r="I95" s="4">
        <v>0.06</v>
      </c>
      <c r="J95" s="2">
        <v>55000</v>
      </c>
      <c r="K95" s="2">
        <f>J95*G95</f>
        <v>275000</v>
      </c>
      <c r="L95" s="2">
        <f>VLOOKUP(E95,'Master Inventory'!$B$2:$L$26,5,FALSE)</f>
        <v>20000</v>
      </c>
      <c r="M95" s="2">
        <f>L95*G95</f>
        <v>100000</v>
      </c>
      <c r="N95" s="2">
        <f>K95-M95</f>
        <v>175000</v>
      </c>
      <c r="O95" s="4">
        <f>IFERROR(N95/K95,0)</f>
        <v>0.636364</v>
      </c>
      <c r="P95" t="str" s="3">
        <f>IF(J95&lt;L95,"BELOW COGS","OK")</f>
        <v>OK</v>
      </c>
      <c r="Q95" s="4">
        <v>0.07</v>
      </c>
      <c r="R95" s="2">
        <f>K95*Q95</f>
        <v>19250</v>
      </c>
      <c r="S95" s="2">
        <f>K95-R95</f>
        <v>255750</v>
      </c>
      <c r="T95" s="2">
        <f>S95-M95</f>
        <v>155750</v>
      </c>
      <c r="U95" s="4">
        <f>IFERROR(T95/S95,0)</f>
        <v>0.608993</v>
      </c>
      <c r="V95" t="str" s="3">
        <f>IF(T95&lt;0,"RUGI SETELAH FEE","OK")</f>
        <v>OK</v>
      </c>
    </row>
    <row r="96">
      <c r="A96" s="8">
        <v>95</v>
      </c>
      <c r="B96" s="5">
        <v>46294</v>
      </c>
      <c r="C96" s="8" t="s">
        <v>88</v>
      </c>
      <c r="D96" s="3" t="s">
        <v>183</v>
      </c>
      <c r="E96" s="3" t="s">
        <v>54</v>
      </c>
      <c r="F96" t="str" s="3">
        <f>VLOOKUP(E96,'Master Inventory'!$B$2:$L$26,2,FALSE)</f>
        <v>Hair Mist Perfume 100ml</v>
      </c>
      <c r="G96" s="2">
        <v>2</v>
      </c>
      <c r="H96" s="2">
        <v>60000</v>
      </c>
      <c r="I96" s="4">
        <v>0.57</v>
      </c>
      <c r="J96" s="2">
        <v>25800</v>
      </c>
      <c r="K96" s="2">
        <f>J96*G96</f>
        <v>51600</v>
      </c>
      <c r="L96" s="2">
        <f>VLOOKUP(E96,'Master Inventory'!$B$2:$L$26,5,FALSE)</f>
        <v>20000</v>
      </c>
      <c r="M96" s="2">
        <f>L96*G96</f>
        <v>40000</v>
      </c>
      <c r="N96" s="2">
        <f>K96-M96</f>
        <v>11600</v>
      </c>
      <c r="O96" s="4">
        <f>IFERROR(N96/K96,0)</f>
        <v>0.224806</v>
      </c>
      <c r="P96" t="str" s="3">
        <f>IF(J96&lt;L96,"BELOW COGS","OK")</f>
        <v>OK</v>
      </c>
      <c r="Q96" s="4">
        <v>0.07</v>
      </c>
      <c r="R96" s="2">
        <f>K96*Q96</f>
        <v>3612</v>
      </c>
      <c r="S96" s="2">
        <f>K96-R96</f>
        <v>47988</v>
      </c>
      <c r="T96" s="2">
        <f>S96-M96</f>
        <v>7988</v>
      </c>
      <c r="U96" s="4">
        <f>IFERROR(T96/S96,0)</f>
        <v>0.166458</v>
      </c>
      <c r="V96" t="str" s="3">
        <f>IF(T96&lt;0,"RUGI SETELAH FEE","OK")</f>
        <v>OK</v>
      </c>
    </row>
    <row r="97">
      <c r="A97" s="8">
        <v>96</v>
      </c>
      <c r="B97" s="5">
        <v>46294</v>
      </c>
      <c r="C97" s="8" t="s">
        <v>88</v>
      </c>
      <c r="D97" s="3" t="s">
        <v>184</v>
      </c>
      <c r="E97" s="3" t="s">
        <v>19</v>
      </c>
      <c r="F97" t="str" s="3">
        <f>VLOOKUP(E97,'Master Inventory'!$B$2:$L$26,2,FALSE)</f>
        <v>Serum Vitamin C 20ml</v>
      </c>
      <c r="G97" s="2">
        <v>2</v>
      </c>
      <c r="H97" s="2">
        <v>96500</v>
      </c>
      <c r="I97" s="4">
        <v>0.74</v>
      </c>
      <c r="J97" s="2">
        <v>25100</v>
      </c>
      <c r="K97" s="2">
        <f>J97*G97</f>
        <v>50200</v>
      </c>
      <c r="L97" s="2">
        <f>VLOOKUP(E97,'Master Inventory'!$B$2:$L$26,5,FALSE)</f>
        <v>35000</v>
      </c>
      <c r="M97" s="2">
        <f>L97*G97</f>
        <v>70000</v>
      </c>
      <c r="N97" s="2">
        <f>K97-M97</f>
        <v>-19800</v>
      </c>
      <c r="O97" s="4">
        <f>IFERROR(N97/K97,0)</f>
        <v>-0.394422</v>
      </c>
      <c r="P97" t="str" s="3">
        <f>IF(J97&lt;L97,"BELOW COGS","OK")</f>
        <v>BELOW COGS</v>
      </c>
      <c r="Q97" s="4">
        <v>0.07</v>
      </c>
      <c r="R97" s="2">
        <f>K97*Q97</f>
        <v>3514</v>
      </c>
      <c r="S97" s="2">
        <f>K97-R97</f>
        <v>46686</v>
      </c>
      <c r="T97" s="2">
        <f>S97-M97</f>
        <v>-23314</v>
      </c>
      <c r="U97" s="4">
        <f>IFERROR(T97/S97,0)</f>
        <v>-0.499379</v>
      </c>
      <c r="V97" t="str" s="3">
        <f>IF(T97&lt;0,"RUGI SETELAH FEE","OK")</f>
        <v>RUGI SETELAH FEE</v>
      </c>
    </row>
    <row r="98">
      <c r="A98" s="8">
        <v>97</v>
      </c>
      <c r="B98" s="5">
        <v>46294</v>
      </c>
      <c r="C98" s="8" t="s">
        <v>88</v>
      </c>
      <c r="D98" s="3" t="s">
        <v>185</v>
      </c>
      <c r="E98" s="3" t="s">
        <v>26</v>
      </c>
      <c r="F98" t="str" s="3">
        <f>VLOOKUP(E98,'Master Inventory'!$B$2:$L$26,2,FALSE)</f>
        <v>Sunscreen SPF50 PA+++ 40ml</v>
      </c>
      <c r="G98" s="2">
        <v>5</v>
      </c>
      <c r="H98" s="2">
        <v>86000</v>
      </c>
      <c r="I98" s="4">
        <v>0.27</v>
      </c>
      <c r="J98" s="2">
        <v>62800</v>
      </c>
      <c r="K98" s="2">
        <f>J98*G98</f>
        <v>314000</v>
      </c>
      <c r="L98" s="2">
        <f>VLOOKUP(E98,'Master Inventory'!$B$2:$L$26,5,FALSE)</f>
        <v>30000</v>
      </c>
      <c r="M98" s="2">
        <f>L98*G98</f>
        <v>150000</v>
      </c>
      <c r="N98" s="2">
        <f>K98-M98</f>
        <v>164000</v>
      </c>
      <c r="O98" s="4">
        <f>IFERROR(N98/K98,0)</f>
        <v>0.522293</v>
      </c>
      <c r="P98" t="str" s="3">
        <f>IF(J98&lt;L98,"BELOW COGS","OK")</f>
        <v>OK</v>
      </c>
      <c r="Q98" s="4">
        <v>0.07</v>
      </c>
      <c r="R98" s="2">
        <f>K98*Q98</f>
        <v>21980</v>
      </c>
      <c r="S98" s="2">
        <f>K98-R98</f>
        <v>292020</v>
      </c>
      <c r="T98" s="2">
        <f>S98-M98</f>
        <v>142020</v>
      </c>
      <c r="U98" s="4">
        <f>IFERROR(T98/S98,0)</f>
        <v>0.486337</v>
      </c>
      <c r="V98" t="str" s="3">
        <f>IF(T98&lt;0,"RUGI SETELAH FEE","OK")</f>
        <v>OK</v>
      </c>
    </row>
    <row r="99">
      <c r="A99" s="8">
        <v>98</v>
      </c>
      <c r="B99" s="5">
        <v>46295</v>
      </c>
      <c r="C99" s="8" t="s">
        <v>88</v>
      </c>
      <c r="D99" s="3" t="s">
        <v>186</v>
      </c>
      <c r="E99" s="3" t="s">
        <v>61</v>
      </c>
      <c r="F99" t="str" s="3">
        <f>VLOOKUP(E99,'Master Inventory'!$B$2:$L$26,2,FALSE)</f>
        <v>Body Scrub Coffee 200g</v>
      </c>
      <c r="G99" s="2">
        <v>6</v>
      </c>
      <c r="H99" s="2">
        <v>44000</v>
      </c>
      <c r="I99" s="4">
        <v>0.21</v>
      </c>
      <c r="J99" s="2">
        <v>34800</v>
      </c>
      <c r="K99" s="2">
        <f>J99*G99</f>
        <v>208800</v>
      </c>
      <c r="L99" s="2">
        <f>VLOOKUP(E99,'Master Inventory'!$B$2:$L$26,5,FALSE)</f>
        <v>17000</v>
      </c>
      <c r="M99" s="2">
        <f>L99*G99</f>
        <v>102000</v>
      </c>
      <c r="N99" s="2">
        <f>K99-M99</f>
        <v>106800</v>
      </c>
      <c r="O99" s="4">
        <f>IFERROR(N99/K99,0)</f>
        <v>0.511494</v>
      </c>
      <c r="P99" t="str" s="3">
        <f>IF(J99&lt;L99,"BELOW COGS","OK")</f>
        <v>OK</v>
      </c>
      <c r="Q99" s="4">
        <v>0.07</v>
      </c>
      <c r="R99" s="2">
        <f>K99*Q99</f>
        <v>14616</v>
      </c>
      <c r="S99" s="2">
        <f>K99-R99</f>
        <v>194184</v>
      </c>
      <c r="T99" s="2">
        <f>S99-M99</f>
        <v>92184</v>
      </c>
      <c r="U99" s="4">
        <f>IFERROR(T99/S99,0)</f>
        <v>0.474725</v>
      </c>
      <c r="V99" t="str" s="3">
        <f>IF(T99&lt;0,"RUGI SETELAH FEE","OK")</f>
        <v>OK</v>
      </c>
    </row>
    <row r="100">
      <c r="A100" s="8">
        <v>99</v>
      </c>
      <c r="B100" s="5">
        <v>46295</v>
      </c>
      <c r="C100" s="8" t="s">
        <v>88</v>
      </c>
      <c r="D100" s="3" t="s">
        <v>187</v>
      </c>
      <c r="E100" s="3" t="s">
        <v>19</v>
      </c>
      <c r="F100" t="str" s="3">
        <f>VLOOKUP(E100,'Master Inventory'!$B$2:$L$26,2,FALSE)</f>
        <v>Serum Vitamin C 20ml</v>
      </c>
      <c r="G100" s="2">
        <v>4</v>
      </c>
      <c r="H100" s="2">
        <v>105000</v>
      </c>
      <c r="I100" s="4">
        <v>0.01</v>
      </c>
      <c r="J100" s="2">
        <v>104000</v>
      </c>
      <c r="K100" s="2">
        <f>J100*G100</f>
        <v>416000</v>
      </c>
      <c r="L100" s="2">
        <f>VLOOKUP(E100,'Master Inventory'!$B$2:$L$26,5,FALSE)</f>
        <v>35000</v>
      </c>
      <c r="M100" s="2">
        <f>L100*G100</f>
        <v>140000</v>
      </c>
      <c r="N100" s="2">
        <f>K100-M100</f>
        <v>276000</v>
      </c>
      <c r="O100" s="4">
        <f>IFERROR(N100/K100,0)</f>
        <v>0.663462</v>
      </c>
      <c r="P100" t="str" s="3">
        <f>IF(J100&lt;L100,"BELOW COGS","OK")</f>
        <v>OK</v>
      </c>
      <c r="Q100" s="4">
        <v>0.07</v>
      </c>
      <c r="R100" s="2">
        <f>K100*Q100</f>
        <v>29120</v>
      </c>
      <c r="S100" s="2">
        <f>K100-R100</f>
        <v>386880</v>
      </c>
      <c r="T100" s="2">
        <f>S100-M100</f>
        <v>246880</v>
      </c>
      <c r="U100" s="4">
        <f>IFERROR(T100/S100,0)</f>
        <v>0.638131</v>
      </c>
      <c r="V100" t="str" s="3">
        <f>IF(T100&lt;0,"RUGI SETELAH FEE","OK")</f>
        <v>OK</v>
      </c>
    </row>
    <row r="101">
      <c r="A101" s="8">
        <v>100</v>
      </c>
      <c r="B101" s="5">
        <v>46295</v>
      </c>
      <c r="C101" s="8" t="s">
        <v>88</v>
      </c>
      <c r="D101" s="3" t="s">
        <v>188</v>
      </c>
      <c r="E101" s="3" t="s">
        <v>52</v>
      </c>
      <c r="F101" t="str" s="3">
        <f>VLOOKUP(E101,'Master Inventory'!$B$2:$L$26,2,FALSE)</f>
        <v>Conditioner Repair 300ml</v>
      </c>
      <c r="G101" s="2">
        <v>4</v>
      </c>
      <c r="H101" s="2">
        <v>53000</v>
      </c>
      <c r="I101" s="4">
        <v>0.04</v>
      </c>
      <c r="J101" s="2">
        <v>50900</v>
      </c>
      <c r="K101" s="2">
        <f>J101*G101</f>
        <v>203600</v>
      </c>
      <c r="L101" s="2">
        <f>VLOOKUP(E101,'Master Inventory'!$B$2:$L$26,5,FALSE)</f>
        <v>18000</v>
      </c>
      <c r="M101" s="2">
        <f>L101*G101</f>
        <v>72000</v>
      </c>
      <c r="N101" s="2">
        <f>K101-M101</f>
        <v>131600</v>
      </c>
      <c r="O101" s="4">
        <f>IFERROR(N101/K101,0)</f>
        <v>0.646365</v>
      </c>
      <c r="P101" t="str" s="3">
        <f>IF(J101&lt;L101,"BELOW COGS","OK")</f>
        <v>OK</v>
      </c>
      <c r="Q101" s="4">
        <v>0.07</v>
      </c>
      <c r="R101" s="2">
        <f>K101*Q101</f>
        <v>14252</v>
      </c>
      <c r="S101" s="2">
        <f>K101-R101</f>
        <v>189348</v>
      </c>
      <c r="T101" s="2">
        <f>S101-M101</f>
        <v>117348</v>
      </c>
      <c r="U101" s="4">
        <f>IFERROR(T101/S101,0)</f>
        <v>0.619748</v>
      </c>
      <c r="V101" t="str" s="3">
        <f>IF(T101&lt;0,"RUGI SETELAH FEE","OK")</f>
        <v>OK</v>
      </c>
    </row>
    <row r="102">
      <c r="A102" s="7" t="s">
        <v>189</v>
      </c>
      <c r="B102" s="7" t="s">
        <v>189</v>
      </c>
      <c r="C102" s="7" t="s">
        <v>189</v>
      </c>
      <c r="D102" s="7" t="s">
        <v>189</v>
      </c>
      <c r="E102" s="7" t="s">
        <v>189</v>
      </c>
      <c r="F102" s="7" t="s">
        <v>190</v>
      </c>
      <c r="G102" s="6">
        <f>SUM(G2:G101)</f>
        <v>323</v>
      </c>
      <c r="H102" s="7" t="s">
        <v>189</v>
      </c>
      <c r="I102" s="7" t="s">
        <v>189</v>
      </c>
      <c r="J102" s="7" t="s">
        <v>189</v>
      </c>
      <c r="K102" s="6">
        <f>SUM(K2:K101)</f>
        <v>17907400</v>
      </c>
      <c r="L102" s="7" t="s">
        <v>189</v>
      </c>
      <c r="M102" s="6">
        <f>SUM(M2:M101)</f>
        <v>9024000</v>
      </c>
      <c r="N102" s="6">
        <f>SUM(N2:N101)</f>
        <v>8883400</v>
      </c>
      <c r="O102" s="12">
        <f>IFERROR(N102/K102,0)</f>
        <v>0.496074</v>
      </c>
      <c r="P102" t="str" s="7">
        <f>COUNTIF(P2:P101,"BELOW COGS")&amp;" transaksi"</f>
        <v>23 transaksi</v>
      </c>
      <c r="Q102" s="7" t="s">
        <v>189</v>
      </c>
      <c r="R102" s="6">
        <f>SUM(R2:R101)</f>
        <v>1253518</v>
      </c>
      <c r="S102" s="6">
        <f>SUM(S2:S101)</f>
        <v>16653882</v>
      </c>
      <c r="T102" s="6">
        <f>SUM(T2:T101)</f>
        <v>7629882</v>
      </c>
      <c r="U102" s="12">
        <f>IFERROR(T102/S102,0)</f>
        <v>0.458144</v>
      </c>
      <c r="V102" t="str" s="7">
        <f>COUNTIF(V2:V101,"RUGI SETELAH FEE")&amp;" transaksi"</f>
        <v>32 transaksi</v>
      </c>
    </row>
  </sheetData>
  <autoFilter ref="A1:V101"/>
  <conditionalFormatting sqref="P2:P101">
    <cfRule type="containsText" dxfId="0" priority="1" operator="containsText" text="BELOW COGS">
      <formula>NOT(ISERROR(SEARCH("BELOW COGS",P2)))</formula>
    </cfRule>
  </conditionalFormatting>
  <conditionalFormatting sqref="V2:V101">
    <cfRule type="containsText" dxfId="3" priority="2" operator="containsText" text="RUGI SETELAH FEE">
      <formula>NOT(ISERROR(SEARCH("RUGI SETELAH FEE",V2)))</formula>
    </cfRule>
  </conditionalFormatting>
</worksheet>
</file>

<file path=xl/worksheets/sheet3.xml><?xml version="1.0" encoding="utf-8"?>
<worksheet xmlns="http://schemas.openxmlformats.org/spreadsheetml/2006/main">
  <dimension ref="A1:V102"/>
  <sheetViews>
    <sheetView tabSelected="0" workbookViewId="0">
      <pane ySplit="1" topLeftCell="A2" activePane="bottomLeft" state="frozen"/>
    </sheetView>
  </sheetViews>
  <sheetFormatPr defaultRowHeight="15"/>
  <cols>
    <col min="1" max="1" width="5" customWidth="1"/>
    <col min="2" max="2" width="14" customWidth="1"/>
    <col min="3" max="3" width="10" customWidth="1"/>
    <col min="4" max="4" width="14" customWidth="1"/>
    <col min="5" max="5" width="10" customWidth="1"/>
    <col min="6" max="6" width="30" customWidth="1"/>
    <col min="7" max="7" width="10" customWidth="1"/>
    <col min="8" max="8" width="16" customWidth="1"/>
    <col min="9" max="9" width="10" customWidth="1"/>
    <col min="10" max="10" width="16" customWidth="1"/>
    <col min="11" max="11" width="16" customWidth="1"/>
    <col min="12" max="12" width="14" customWidth="1"/>
    <col min="13" max="13" width="14" customWidth="1"/>
    <col min="14" max="14" width="14" customWidth="1"/>
    <col min="15" max="15" width="11" customWidth="1"/>
    <col min="16" max="16" width="22" customWidth="1"/>
    <col min="17" max="17" width="12" customWidth="1"/>
    <col min="18" max="18" width="16" customWidth="1"/>
    <col min="19" max="19" width="20" customWidth="1"/>
    <col min="20" max="20" width="18" customWidth="1"/>
    <col min="21" max="21" width="15" customWidth="1"/>
    <col min="22" max="22" width="18" customWidth="1"/>
  </cols>
  <sheetData>
    <row r="1">
      <c r="A1" s="11" t="s">
        <v>0</v>
      </c>
      <c r="B1" s="11" t="s">
        <v>70</v>
      </c>
      <c r="C1" s="11" t="s">
        <v>71</v>
      </c>
      <c r="D1" s="11" t="s">
        <v>72</v>
      </c>
      <c r="E1" s="11" t="s">
        <v>1</v>
      </c>
      <c r="F1" s="11" t="s">
        <v>2</v>
      </c>
      <c r="G1" s="11" t="s">
        <v>73</v>
      </c>
      <c r="H1" s="11" t="s">
        <v>74</v>
      </c>
      <c r="I1" s="11" t="s">
        <v>75</v>
      </c>
      <c r="J1" s="11" t="s">
        <v>76</v>
      </c>
      <c r="K1" s="11" t="s">
        <v>77</v>
      </c>
      <c r="L1" s="11" t="s">
        <v>5</v>
      </c>
      <c r="M1" s="11" t="s">
        <v>78</v>
      </c>
      <c r="N1" s="11" t="s">
        <v>79</v>
      </c>
      <c r="O1" s="11" t="s">
        <v>80</v>
      </c>
      <c r="P1" s="11" t="s">
        <v>81</v>
      </c>
      <c r="Q1" s="11" t="s">
        <v>82</v>
      </c>
      <c r="R1" s="11" t="s">
        <v>83</v>
      </c>
      <c r="S1" s="11" t="s">
        <v>84</v>
      </c>
      <c r="T1" s="11" t="s">
        <v>85</v>
      </c>
      <c r="U1" s="11" t="s">
        <v>86</v>
      </c>
      <c r="V1" s="11" t="s">
        <v>87</v>
      </c>
    </row>
    <row r="2">
      <c r="A2" s="8">
        <v>1</v>
      </c>
      <c r="B2" s="5">
        <v>46266</v>
      </c>
      <c r="C2" s="8" t="s">
        <v>191</v>
      </c>
      <c r="D2" s="3" t="s">
        <v>192</v>
      </c>
      <c r="E2" s="3" t="s">
        <v>35</v>
      </c>
      <c r="F2" t="str" s="3">
        <f>VLOOKUP(E2,'Master Inventory'!$B$2:$L$26,2,FALSE)</f>
        <v>Lip Cream Matte Long Lasting</v>
      </c>
      <c r="G2" s="2">
        <v>6</v>
      </c>
      <c r="H2" s="2">
        <v>40500</v>
      </c>
      <c r="I2" s="4">
        <v>0.3</v>
      </c>
      <c r="J2" s="2">
        <v>28400</v>
      </c>
      <c r="K2" s="2">
        <f>J2*G2</f>
        <v>170400</v>
      </c>
      <c r="L2" s="2">
        <f>VLOOKUP(E2,'Master Inventory'!$B$2:$L$26,5,FALSE)</f>
        <v>15000</v>
      </c>
      <c r="M2" s="2">
        <f>L2*G2</f>
        <v>90000</v>
      </c>
      <c r="N2" s="2">
        <f>K2-M2</f>
        <v>80400</v>
      </c>
      <c r="O2" s="4">
        <f>IFERROR(N2/K2,0)</f>
        <v>0.471831</v>
      </c>
      <c r="P2" t="str" s="3">
        <f>IF(J2&lt;L2,"BELOW COGS","OK")</f>
        <v>OK</v>
      </c>
      <c r="Q2" s="4">
        <v>0.06</v>
      </c>
      <c r="R2" s="2">
        <f>K2*Q2</f>
        <v>10224</v>
      </c>
      <c r="S2" s="2">
        <f>K2-R2</f>
        <v>160176</v>
      </c>
      <c r="T2" s="2">
        <f>S2-M2</f>
        <v>70176</v>
      </c>
      <c r="U2" s="4">
        <f>IFERROR(T2/S2,0)</f>
        <v>0.438118</v>
      </c>
      <c r="V2" t="str" s="3">
        <f>IF(T2&lt;0,"RUGI SETELAH FEE","OK")</f>
        <v>OK</v>
      </c>
    </row>
    <row r="3">
      <c r="A3" s="8">
        <v>2</v>
      </c>
      <c r="B3" s="5">
        <v>46267</v>
      </c>
      <c r="C3" s="8" t="s">
        <v>191</v>
      </c>
      <c r="D3" s="3" t="s">
        <v>193</v>
      </c>
      <c r="E3" s="3" t="s">
        <v>68</v>
      </c>
      <c r="F3" t="str" s="3">
        <f>VLOOKUP(E3,'Master Inventory'!$B$2:$L$26,2,FALSE)</f>
        <v>Eau de Parfum 50ml</v>
      </c>
      <c r="G3" s="2">
        <v>1</v>
      </c>
      <c r="H3" s="2">
        <v>282500</v>
      </c>
      <c r="I3" s="4">
        <v>0.55</v>
      </c>
      <c r="J3" s="2">
        <v>127100</v>
      </c>
      <c r="K3" s="2">
        <f>J3*G3</f>
        <v>127100</v>
      </c>
      <c r="L3" s="2">
        <f>VLOOKUP(E3,'Master Inventory'!$B$2:$L$26,5,FALSE)</f>
        <v>85000</v>
      </c>
      <c r="M3" s="2">
        <f>L3*G3</f>
        <v>85000</v>
      </c>
      <c r="N3" s="2">
        <f>K3-M3</f>
        <v>42100</v>
      </c>
      <c r="O3" s="4">
        <f>IFERROR(N3/K3,0)</f>
        <v>0.331235</v>
      </c>
      <c r="P3" t="str" s="3">
        <f>IF(J3&lt;L3,"BELOW COGS","OK")</f>
        <v>OK</v>
      </c>
      <c r="Q3" s="4">
        <v>0.06</v>
      </c>
      <c r="R3" s="2">
        <f>K3*Q3</f>
        <v>7626</v>
      </c>
      <c r="S3" s="2">
        <f>K3-R3</f>
        <v>119474</v>
      </c>
      <c r="T3" s="2">
        <f>S3-M3</f>
        <v>34474</v>
      </c>
      <c r="U3" s="4">
        <f>IFERROR(T3/S3,0)</f>
        <v>0.288548</v>
      </c>
      <c r="V3" t="str" s="3">
        <f>IF(T3&lt;0,"RUGI SETELAH FEE","OK")</f>
        <v>OK</v>
      </c>
    </row>
    <row r="4">
      <c r="A4" s="8">
        <v>3</v>
      </c>
      <c r="B4" s="5">
        <v>46267</v>
      </c>
      <c r="C4" s="8" t="s">
        <v>191</v>
      </c>
      <c r="D4" s="3" t="s">
        <v>194</v>
      </c>
      <c r="E4" s="3" t="s">
        <v>23</v>
      </c>
      <c r="F4" t="str" s="3">
        <f>VLOOKUP(E4,'Master Inventory'!$B$2:$L$26,2,FALSE)</f>
        <v>Moisturizer Gel Cream 40g</v>
      </c>
      <c r="G4" s="2">
        <v>2</v>
      </c>
      <c r="H4" s="2">
        <v>84000</v>
      </c>
      <c r="I4" s="4">
        <v>0.01</v>
      </c>
      <c r="J4" s="2">
        <v>83200</v>
      </c>
      <c r="K4" s="2">
        <f>J4*G4</f>
        <v>166400</v>
      </c>
      <c r="L4" s="2">
        <f>VLOOKUP(E4,'Master Inventory'!$B$2:$L$26,5,FALSE)</f>
        <v>28000</v>
      </c>
      <c r="M4" s="2">
        <f>L4*G4</f>
        <v>56000</v>
      </c>
      <c r="N4" s="2">
        <f>K4-M4</f>
        <v>110400</v>
      </c>
      <c r="O4" s="4">
        <f>IFERROR(N4/K4,0)</f>
        <v>0.663462</v>
      </c>
      <c r="P4" t="str" s="3">
        <f>IF(J4&lt;L4,"BELOW COGS","OK")</f>
        <v>OK</v>
      </c>
      <c r="Q4" s="4">
        <v>0.06</v>
      </c>
      <c r="R4" s="2">
        <f>K4*Q4</f>
        <v>9984</v>
      </c>
      <c r="S4" s="2">
        <f>K4-R4</f>
        <v>156416</v>
      </c>
      <c r="T4" s="2">
        <f>S4-M4</f>
        <v>100416</v>
      </c>
      <c r="U4" s="4">
        <f>IFERROR(T4/S4,0)</f>
        <v>0.64198</v>
      </c>
      <c r="V4" t="str" s="3">
        <f>IF(T4&lt;0,"RUGI SETELAH FEE","OK")</f>
        <v>OK</v>
      </c>
    </row>
    <row r="5">
      <c r="A5" s="8">
        <v>4</v>
      </c>
      <c r="B5" s="5">
        <v>46268</v>
      </c>
      <c r="C5" s="8" t="s">
        <v>191</v>
      </c>
      <c r="D5" s="3" t="s">
        <v>195</v>
      </c>
      <c r="E5" s="3" t="s">
        <v>58</v>
      </c>
      <c r="F5" t="str" s="3">
        <f>VLOOKUP(E5,'Master Inventory'!$B$2:$L$26,2,FALSE)</f>
        <v>Body Lotion Brightening 200ml</v>
      </c>
      <c r="G5" s="2">
        <v>4</v>
      </c>
      <c r="H5" s="2">
        <v>41500</v>
      </c>
      <c r="I5" s="4">
        <v>0.11</v>
      </c>
      <c r="J5" s="2">
        <v>36900</v>
      </c>
      <c r="K5" s="2">
        <f>J5*G5</f>
        <v>147600</v>
      </c>
      <c r="L5" s="2">
        <f>VLOOKUP(E5,'Master Inventory'!$B$2:$L$26,5,FALSE)</f>
        <v>16000</v>
      </c>
      <c r="M5" s="2">
        <f>L5*G5</f>
        <v>64000</v>
      </c>
      <c r="N5" s="2">
        <f>K5-M5</f>
        <v>83600</v>
      </c>
      <c r="O5" s="4">
        <f>IFERROR(N5/K5,0)</f>
        <v>0.566396</v>
      </c>
      <c r="P5" t="str" s="3">
        <f>IF(J5&lt;L5,"BELOW COGS","OK")</f>
        <v>OK</v>
      </c>
      <c r="Q5" s="4">
        <v>0.06</v>
      </c>
      <c r="R5" s="2">
        <f>K5*Q5</f>
        <v>8856</v>
      </c>
      <c r="S5" s="2">
        <f>K5-R5</f>
        <v>138744</v>
      </c>
      <c r="T5" s="2">
        <f>S5-M5</f>
        <v>74744</v>
      </c>
      <c r="U5" s="4">
        <f>IFERROR(T5/S5,0)</f>
        <v>0.538719</v>
      </c>
      <c r="V5" t="str" s="3">
        <f>IF(T5&lt;0,"RUGI SETELAH FEE","OK")</f>
        <v>OK</v>
      </c>
    </row>
    <row r="6">
      <c r="A6" s="8">
        <v>5</v>
      </c>
      <c r="B6" s="5">
        <v>46268</v>
      </c>
      <c r="C6" s="8" t="s">
        <v>191</v>
      </c>
      <c r="D6" s="3" t="s">
        <v>196</v>
      </c>
      <c r="E6" s="3" t="s">
        <v>32</v>
      </c>
      <c r="F6" t="str" s="3">
        <f>VLOOKUP(E6,'Master Inventory'!$B$2:$L$26,2,FALSE)</f>
        <v>Lip Tint Velvet Matte</v>
      </c>
      <c r="G6" s="2">
        <v>4</v>
      </c>
      <c r="H6" s="2">
        <v>37000</v>
      </c>
      <c r="I6" s="4">
        <v>0.22</v>
      </c>
      <c r="J6" s="2">
        <v>28900</v>
      </c>
      <c r="K6" s="2">
        <f>J6*G6</f>
        <v>115600</v>
      </c>
      <c r="L6" s="2">
        <f>VLOOKUP(E6,'Master Inventory'!$B$2:$L$26,5,FALSE)</f>
        <v>14000</v>
      </c>
      <c r="M6" s="2">
        <f>L6*G6</f>
        <v>56000</v>
      </c>
      <c r="N6" s="2">
        <f>K6-M6</f>
        <v>59600</v>
      </c>
      <c r="O6" s="4">
        <f>IFERROR(N6/K6,0)</f>
        <v>0.515571</v>
      </c>
      <c r="P6" t="str" s="3">
        <f>IF(J6&lt;L6,"BELOW COGS","OK")</f>
        <v>OK</v>
      </c>
      <c r="Q6" s="4">
        <v>0.06</v>
      </c>
      <c r="R6" s="2">
        <f>K6*Q6</f>
        <v>6936</v>
      </c>
      <c r="S6" s="2">
        <f>K6-R6</f>
        <v>108664</v>
      </c>
      <c r="T6" s="2">
        <f>S6-M6</f>
        <v>52664</v>
      </c>
      <c r="U6" s="4">
        <f>IFERROR(T6/S6,0)</f>
        <v>0.48465</v>
      </c>
      <c r="V6" t="str" s="3">
        <f>IF(T6&lt;0,"RUGI SETELAH FEE","OK")</f>
        <v>OK</v>
      </c>
    </row>
    <row r="7">
      <c r="A7" s="8">
        <v>6</v>
      </c>
      <c r="B7" s="5">
        <v>46268</v>
      </c>
      <c r="C7" s="8" t="s">
        <v>191</v>
      </c>
      <c r="D7" s="3" t="s">
        <v>197</v>
      </c>
      <c r="E7" s="3" t="s">
        <v>47</v>
      </c>
      <c r="F7" t="str" s="3">
        <f>VLOOKUP(E7,'Master Inventory'!$B$2:$L$26,2,FALSE)</f>
        <v>Hair Serum Anti Frizz 60ml</v>
      </c>
      <c r="G7" s="2">
        <v>3</v>
      </c>
      <c r="H7" s="2">
        <v>67500</v>
      </c>
      <c r="I7" s="4">
        <v>0.57</v>
      </c>
      <c r="J7" s="2">
        <v>29000</v>
      </c>
      <c r="K7" s="2">
        <f>J7*G7</f>
        <v>87000</v>
      </c>
      <c r="L7" s="2">
        <f>VLOOKUP(E7,'Master Inventory'!$B$2:$L$26,5,FALSE)</f>
        <v>24000</v>
      </c>
      <c r="M7" s="2">
        <f>L7*G7</f>
        <v>72000</v>
      </c>
      <c r="N7" s="2">
        <f>K7-M7</f>
        <v>15000</v>
      </c>
      <c r="O7" s="4">
        <f>IFERROR(N7/K7,0)</f>
        <v>0.172414</v>
      </c>
      <c r="P7" t="str" s="3">
        <f>IF(J7&lt;L7,"BELOW COGS","OK")</f>
        <v>OK</v>
      </c>
      <c r="Q7" s="4">
        <v>0.06</v>
      </c>
      <c r="R7" s="2">
        <f>K7*Q7</f>
        <v>5220</v>
      </c>
      <c r="S7" s="2">
        <f>K7-R7</f>
        <v>81780</v>
      </c>
      <c r="T7" s="2">
        <f>S7-M7</f>
        <v>9780</v>
      </c>
      <c r="U7" s="4">
        <f>IFERROR(T7/S7,0)</f>
        <v>0.119589</v>
      </c>
      <c r="V7" t="str" s="3">
        <f>IF(T7&lt;0,"RUGI SETELAH FEE","OK")</f>
        <v>OK</v>
      </c>
    </row>
    <row r="8">
      <c r="A8" s="8">
        <v>7</v>
      </c>
      <c r="B8" s="5">
        <v>46268</v>
      </c>
      <c r="C8" s="8" t="s">
        <v>191</v>
      </c>
      <c r="D8" s="3" t="s">
        <v>198</v>
      </c>
      <c r="E8" s="3" t="s">
        <v>47</v>
      </c>
      <c r="F8" t="str" s="3">
        <f>VLOOKUP(E8,'Master Inventory'!$B$2:$L$26,2,FALSE)</f>
        <v>Hair Serum Anti Frizz 60ml</v>
      </c>
      <c r="G8" s="2">
        <v>3</v>
      </c>
      <c r="H8" s="2">
        <v>67000</v>
      </c>
      <c r="I8" s="4">
        <v>0.23</v>
      </c>
      <c r="J8" s="2">
        <v>51600</v>
      </c>
      <c r="K8" s="2">
        <f>J8*G8</f>
        <v>154800</v>
      </c>
      <c r="L8" s="2">
        <f>VLOOKUP(E8,'Master Inventory'!$B$2:$L$26,5,FALSE)</f>
        <v>24000</v>
      </c>
      <c r="M8" s="2">
        <f>L8*G8</f>
        <v>72000</v>
      </c>
      <c r="N8" s="2">
        <f>K8-M8</f>
        <v>82800</v>
      </c>
      <c r="O8" s="4">
        <f>IFERROR(N8/K8,0)</f>
        <v>0.534884</v>
      </c>
      <c r="P8" t="str" s="3">
        <f>IF(J8&lt;L8,"BELOW COGS","OK")</f>
        <v>OK</v>
      </c>
      <c r="Q8" s="4">
        <v>0.06</v>
      </c>
      <c r="R8" s="2">
        <f>K8*Q8</f>
        <v>9288</v>
      </c>
      <c r="S8" s="2">
        <f>K8-R8</f>
        <v>145512</v>
      </c>
      <c r="T8" s="2">
        <f>S8-M8</f>
        <v>73512</v>
      </c>
      <c r="U8" s="4">
        <f>IFERROR(T8/S8,0)</f>
        <v>0.505195</v>
      </c>
      <c r="V8" t="str" s="3">
        <f>IF(T8&lt;0,"RUGI SETELAH FEE","OK")</f>
        <v>OK</v>
      </c>
    </row>
    <row r="9">
      <c r="A9" s="8">
        <v>8</v>
      </c>
      <c r="B9" s="5">
        <v>46268</v>
      </c>
      <c r="C9" s="8" t="s">
        <v>191</v>
      </c>
      <c r="D9" s="3" t="s">
        <v>199</v>
      </c>
      <c r="E9" s="3" t="s">
        <v>23</v>
      </c>
      <c r="F9" t="str" s="3">
        <f>VLOOKUP(E9,'Master Inventory'!$B$2:$L$26,2,FALSE)</f>
        <v>Moisturizer Gel Cream 40g</v>
      </c>
      <c r="G9" s="2">
        <v>2</v>
      </c>
      <c r="H9" s="2">
        <v>84500</v>
      </c>
      <c r="I9" s="4">
        <v>0.08</v>
      </c>
      <c r="J9" s="2">
        <v>77700</v>
      </c>
      <c r="K9" s="2">
        <f>J9*G9</f>
        <v>155400</v>
      </c>
      <c r="L9" s="2">
        <f>VLOOKUP(E9,'Master Inventory'!$B$2:$L$26,5,FALSE)</f>
        <v>28000</v>
      </c>
      <c r="M9" s="2">
        <f>L9*G9</f>
        <v>56000</v>
      </c>
      <c r="N9" s="2">
        <f>K9-M9</f>
        <v>99400</v>
      </c>
      <c r="O9" s="4">
        <f>IFERROR(N9/K9,0)</f>
        <v>0.63964</v>
      </c>
      <c r="P9" t="str" s="3">
        <f>IF(J9&lt;L9,"BELOW COGS","OK")</f>
        <v>OK</v>
      </c>
      <c r="Q9" s="4">
        <v>0.06</v>
      </c>
      <c r="R9" s="2">
        <f>K9*Q9</f>
        <v>9324</v>
      </c>
      <c r="S9" s="2">
        <f>K9-R9</f>
        <v>146076</v>
      </c>
      <c r="T9" s="2">
        <f>S9-M9</f>
        <v>90076</v>
      </c>
      <c r="U9" s="4">
        <f>IFERROR(T9/S9,0)</f>
        <v>0.616638</v>
      </c>
      <c r="V9" t="str" s="3">
        <f>IF(T9&lt;0,"RUGI SETELAH FEE","OK")</f>
        <v>OK</v>
      </c>
    </row>
    <row r="10">
      <c r="A10" s="8">
        <v>9</v>
      </c>
      <c r="B10" s="5">
        <v>46269</v>
      </c>
      <c r="C10" s="8" t="s">
        <v>191</v>
      </c>
      <c r="D10" s="3" t="s">
        <v>200</v>
      </c>
      <c r="E10" s="3" t="s">
        <v>68</v>
      </c>
      <c r="F10" t="str" s="3">
        <f>VLOOKUP(E10,'Master Inventory'!$B$2:$L$26,2,FALSE)</f>
        <v>Eau de Parfum 50ml</v>
      </c>
      <c r="G10" s="2">
        <v>2</v>
      </c>
      <c r="H10" s="2">
        <v>265500</v>
      </c>
      <c r="I10" s="4">
        <v>0.57</v>
      </c>
      <c r="J10" s="2">
        <v>114200</v>
      </c>
      <c r="K10" s="2">
        <f>J10*G10</f>
        <v>228400</v>
      </c>
      <c r="L10" s="2">
        <f>VLOOKUP(E10,'Master Inventory'!$B$2:$L$26,5,FALSE)</f>
        <v>85000</v>
      </c>
      <c r="M10" s="2">
        <f>L10*G10</f>
        <v>170000</v>
      </c>
      <c r="N10" s="2">
        <f>K10-M10</f>
        <v>58400</v>
      </c>
      <c r="O10" s="4">
        <f>IFERROR(N10/K10,0)</f>
        <v>0.255692</v>
      </c>
      <c r="P10" t="str" s="3">
        <f>IF(J10&lt;L10,"BELOW COGS","OK")</f>
        <v>OK</v>
      </c>
      <c r="Q10" s="4">
        <v>0.06</v>
      </c>
      <c r="R10" s="2">
        <f>K10*Q10</f>
        <v>13704</v>
      </c>
      <c r="S10" s="2">
        <f>K10-R10</f>
        <v>214696</v>
      </c>
      <c r="T10" s="2">
        <f>S10-M10</f>
        <v>44696</v>
      </c>
      <c r="U10" s="4">
        <f>IFERROR(T10/S10,0)</f>
        <v>0.208183</v>
      </c>
      <c r="V10" t="str" s="3">
        <f>IF(T10&lt;0,"RUGI SETELAH FEE","OK")</f>
        <v>OK</v>
      </c>
    </row>
    <row r="11">
      <c r="A11" s="8">
        <v>10</v>
      </c>
      <c r="B11" s="5">
        <v>46269</v>
      </c>
      <c r="C11" s="8" t="s">
        <v>191</v>
      </c>
      <c r="D11" s="3" t="s">
        <v>201</v>
      </c>
      <c r="E11" s="3" t="s">
        <v>45</v>
      </c>
      <c r="F11" t="str" s="3">
        <f>VLOOKUP(E11,'Master Inventory'!$B$2:$L$26,2,FALSE)</f>
        <v>Makeup Setting Spray 100ml</v>
      </c>
      <c r="G11" s="2">
        <v>6</v>
      </c>
      <c r="H11" s="2">
        <v>62500</v>
      </c>
      <c r="I11" s="4">
        <v>0.15</v>
      </c>
      <c r="J11" s="2">
        <v>53100</v>
      </c>
      <c r="K11" s="2">
        <f>J11*G11</f>
        <v>318600</v>
      </c>
      <c r="L11" s="2">
        <f>VLOOKUP(E11,'Master Inventory'!$B$2:$L$26,5,FALSE)</f>
        <v>22000</v>
      </c>
      <c r="M11" s="2">
        <f>L11*G11</f>
        <v>132000</v>
      </c>
      <c r="N11" s="2">
        <f>K11-M11</f>
        <v>186600</v>
      </c>
      <c r="O11" s="4">
        <f>IFERROR(N11/K11,0)</f>
        <v>0.585687</v>
      </c>
      <c r="P11" t="str" s="3">
        <f>IF(J11&lt;L11,"BELOW COGS","OK")</f>
        <v>OK</v>
      </c>
      <c r="Q11" s="4">
        <v>0.06</v>
      </c>
      <c r="R11" s="2">
        <f>K11*Q11</f>
        <v>19116</v>
      </c>
      <c r="S11" s="2">
        <f>K11-R11</f>
        <v>299484</v>
      </c>
      <c r="T11" s="2">
        <f>S11-M11</f>
        <v>167484</v>
      </c>
      <c r="U11" s="4">
        <f>IFERROR(T11/S11,0)</f>
        <v>0.559242</v>
      </c>
      <c r="V11" t="str" s="3">
        <f>IF(T11&lt;0,"RUGI SETELAH FEE","OK")</f>
        <v>OK</v>
      </c>
    </row>
    <row r="12">
      <c r="A12" s="8">
        <v>11</v>
      </c>
      <c r="B12" s="5">
        <v>46269</v>
      </c>
      <c r="C12" s="8" t="s">
        <v>191</v>
      </c>
      <c r="D12" s="3" t="s">
        <v>202</v>
      </c>
      <c r="E12" s="3" t="s">
        <v>68</v>
      </c>
      <c r="F12" t="str" s="3">
        <f>VLOOKUP(E12,'Master Inventory'!$B$2:$L$26,2,FALSE)</f>
        <v>Eau de Parfum 50ml</v>
      </c>
      <c r="G12" s="2">
        <v>4</v>
      </c>
      <c r="H12" s="2">
        <v>278000</v>
      </c>
      <c r="I12" s="4">
        <v>0.0</v>
      </c>
      <c r="J12" s="2">
        <v>278000</v>
      </c>
      <c r="K12" s="2">
        <f>J12*G12</f>
        <v>1112000</v>
      </c>
      <c r="L12" s="2">
        <f>VLOOKUP(E12,'Master Inventory'!$B$2:$L$26,5,FALSE)</f>
        <v>85000</v>
      </c>
      <c r="M12" s="2">
        <f>L12*G12</f>
        <v>340000</v>
      </c>
      <c r="N12" s="2">
        <f>K12-M12</f>
        <v>772000</v>
      </c>
      <c r="O12" s="4">
        <f>IFERROR(N12/K12,0)</f>
        <v>0.694245</v>
      </c>
      <c r="P12" t="str" s="3">
        <f>IF(J12&lt;L12,"BELOW COGS","OK")</f>
        <v>OK</v>
      </c>
      <c r="Q12" s="4">
        <v>0.06</v>
      </c>
      <c r="R12" s="2">
        <f>K12*Q12</f>
        <v>66720</v>
      </c>
      <c r="S12" s="2">
        <f>K12-R12</f>
        <v>1045280</v>
      </c>
      <c r="T12" s="2">
        <f>S12-M12</f>
        <v>705280</v>
      </c>
      <c r="U12" s="4">
        <f>IFERROR(T12/S12,0)</f>
        <v>0.674728</v>
      </c>
      <c r="V12" t="str" s="3">
        <f>IF(T12&lt;0,"RUGI SETELAH FEE","OK")</f>
        <v>OK</v>
      </c>
    </row>
    <row r="13">
      <c r="A13" s="8">
        <v>12</v>
      </c>
      <c r="B13" s="5">
        <v>46269</v>
      </c>
      <c r="C13" s="8" t="s">
        <v>191</v>
      </c>
      <c r="D13" s="3" t="s">
        <v>203</v>
      </c>
      <c r="E13" s="3" t="s">
        <v>58</v>
      </c>
      <c r="F13" t="str" s="3">
        <f>VLOOKUP(E13,'Master Inventory'!$B$2:$L$26,2,FALSE)</f>
        <v>Body Lotion Brightening 200ml</v>
      </c>
      <c r="G13" s="2">
        <v>2</v>
      </c>
      <c r="H13" s="2">
        <v>45000</v>
      </c>
      <c r="I13" s="4">
        <v>0.04</v>
      </c>
      <c r="J13" s="2">
        <v>43200</v>
      </c>
      <c r="K13" s="2">
        <f>J13*G13</f>
        <v>86400</v>
      </c>
      <c r="L13" s="2">
        <f>VLOOKUP(E13,'Master Inventory'!$B$2:$L$26,5,FALSE)</f>
        <v>16000</v>
      </c>
      <c r="M13" s="2">
        <f>L13*G13</f>
        <v>32000</v>
      </c>
      <c r="N13" s="2">
        <f>K13-M13</f>
        <v>54400</v>
      </c>
      <c r="O13" s="4">
        <f>IFERROR(N13/K13,0)</f>
        <v>0.62963</v>
      </c>
      <c r="P13" t="str" s="3">
        <f>IF(J13&lt;L13,"BELOW COGS","OK")</f>
        <v>OK</v>
      </c>
      <c r="Q13" s="4">
        <v>0.06</v>
      </c>
      <c r="R13" s="2">
        <f>K13*Q13</f>
        <v>5184</v>
      </c>
      <c r="S13" s="2">
        <f>K13-R13</f>
        <v>81216</v>
      </c>
      <c r="T13" s="2">
        <f>S13-M13</f>
        <v>49216</v>
      </c>
      <c r="U13" s="4">
        <f>IFERROR(T13/S13,0)</f>
        <v>0.605989</v>
      </c>
      <c r="V13" t="str" s="3">
        <f>IF(T13&lt;0,"RUGI SETELAH FEE","OK")</f>
        <v>OK</v>
      </c>
    </row>
    <row r="14">
      <c r="A14" s="8">
        <v>13</v>
      </c>
      <c r="B14" s="5">
        <v>46269</v>
      </c>
      <c r="C14" s="8" t="s">
        <v>191</v>
      </c>
      <c r="D14" s="3" t="s">
        <v>204</v>
      </c>
      <c r="E14" s="3" t="s">
        <v>68</v>
      </c>
      <c r="F14" t="str" s="3">
        <f>VLOOKUP(E14,'Master Inventory'!$B$2:$L$26,2,FALSE)</f>
        <v>Eau de Parfum 50ml</v>
      </c>
      <c r="G14" s="2">
        <v>6</v>
      </c>
      <c r="H14" s="2">
        <v>269500</v>
      </c>
      <c r="I14" s="4">
        <v>0.59</v>
      </c>
      <c r="J14" s="2">
        <v>110500</v>
      </c>
      <c r="K14" s="2">
        <f>J14*G14</f>
        <v>663000</v>
      </c>
      <c r="L14" s="2">
        <f>VLOOKUP(E14,'Master Inventory'!$B$2:$L$26,5,FALSE)</f>
        <v>85000</v>
      </c>
      <c r="M14" s="2">
        <f>L14*G14</f>
        <v>510000</v>
      </c>
      <c r="N14" s="2">
        <f>K14-M14</f>
        <v>153000</v>
      </c>
      <c r="O14" s="4">
        <f>IFERROR(N14/K14,0)</f>
        <v>0.230769</v>
      </c>
      <c r="P14" t="str" s="3">
        <f>IF(J14&lt;L14,"BELOW COGS","OK")</f>
        <v>OK</v>
      </c>
      <c r="Q14" s="4">
        <v>0.06</v>
      </c>
      <c r="R14" s="2">
        <f>K14*Q14</f>
        <v>39780</v>
      </c>
      <c r="S14" s="2">
        <f>K14-R14</f>
        <v>623220</v>
      </c>
      <c r="T14" s="2">
        <f>S14-M14</f>
        <v>113220</v>
      </c>
      <c r="U14" s="4">
        <f>IFERROR(T14/S14,0)</f>
        <v>0.181669</v>
      </c>
      <c r="V14" t="str" s="3">
        <f>IF(T14&lt;0,"RUGI SETELAH FEE","OK")</f>
        <v>OK</v>
      </c>
    </row>
    <row r="15">
      <c r="A15" s="8">
        <v>14</v>
      </c>
      <c r="B15" s="5">
        <v>46269</v>
      </c>
      <c r="C15" s="8" t="s">
        <v>191</v>
      </c>
      <c r="D15" s="3" t="s">
        <v>205</v>
      </c>
      <c r="E15" s="3" t="s">
        <v>58</v>
      </c>
      <c r="F15" t="str" s="3">
        <f>VLOOKUP(E15,'Master Inventory'!$B$2:$L$26,2,FALSE)</f>
        <v>Body Lotion Brightening 200ml</v>
      </c>
      <c r="G15" s="2">
        <v>6</v>
      </c>
      <c r="H15" s="2">
        <v>41000</v>
      </c>
      <c r="I15" s="4">
        <v>0.0</v>
      </c>
      <c r="J15" s="2">
        <v>41000</v>
      </c>
      <c r="K15" s="2">
        <f>J15*G15</f>
        <v>246000</v>
      </c>
      <c r="L15" s="2">
        <f>VLOOKUP(E15,'Master Inventory'!$B$2:$L$26,5,FALSE)</f>
        <v>16000</v>
      </c>
      <c r="M15" s="2">
        <f>L15*G15</f>
        <v>96000</v>
      </c>
      <c r="N15" s="2">
        <f>K15-M15</f>
        <v>150000</v>
      </c>
      <c r="O15" s="4">
        <f>IFERROR(N15/K15,0)</f>
        <v>0.609756</v>
      </c>
      <c r="P15" t="str" s="3">
        <f>IF(J15&lt;L15,"BELOW COGS","OK")</f>
        <v>OK</v>
      </c>
      <c r="Q15" s="4">
        <v>0.06</v>
      </c>
      <c r="R15" s="2">
        <f>K15*Q15</f>
        <v>14760</v>
      </c>
      <c r="S15" s="2">
        <f>K15-R15</f>
        <v>231240</v>
      </c>
      <c r="T15" s="2">
        <f>S15-M15</f>
        <v>135240</v>
      </c>
      <c r="U15" s="4">
        <f>IFERROR(T15/S15,0)</f>
        <v>0.584847</v>
      </c>
      <c r="V15" t="str" s="3">
        <f>IF(T15&lt;0,"RUGI SETELAH FEE","OK")</f>
        <v>OK</v>
      </c>
    </row>
    <row r="16">
      <c r="A16" s="8">
        <v>15</v>
      </c>
      <c r="B16" s="5">
        <v>46269</v>
      </c>
      <c r="C16" s="8" t="s">
        <v>191</v>
      </c>
      <c r="D16" s="3" t="s">
        <v>206</v>
      </c>
      <c r="E16" s="3" t="s">
        <v>45</v>
      </c>
      <c r="F16" t="str" s="3">
        <f>VLOOKUP(E16,'Master Inventory'!$B$2:$L$26,2,FALSE)</f>
        <v>Makeup Setting Spray 100ml</v>
      </c>
      <c r="G16" s="2">
        <v>3</v>
      </c>
      <c r="H16" s="2">
        <v>67000</v>
      </c>
      <c r="I16" s="4">
        <v>0.22</v>
      </c>
      <c r="J16" s="2">
        <v>52300</v>
      </c>
      <c r="K16" s="2">
        <f>J16*G16</f>
        <v>156900</v>
      </c>
      <c r="L16" s="2">
        <f>VLOOKUP(E16,'Master Inventory'!$B$2:$L$26,5,FALSE)</f>
        <v>22000</v>
      </c>
      <c r="M16" s="2">
        <f>L16*G16</f>
        <v>66000</v>
      </c>
      <c r="N16" s="2">
        <f>K16-M16</f>
        <v>90900</v>
      </c>
      <c r="O16" s="4">
        <f>IFERROR(N16/K16,0)</f>
        <v>0.57935</v>
      </c>
      <c r="P16" t="str" s="3">
        <f>IF(J16&lt;L16,"BELOW COGS","OK")</f>
        <v>OK</v>
      </c>
      <c r="Q16" s="4">
        <v>0.06</v>
      </c>
      <c r="R16" s="2">
        <f>K16*Q16</f>
        <v>9414</v>
      </c>
      <c r="S16" s="2">
        <f>K16-R16</f>
        <v>147486</v>
      </c>
      <c r="T16" s="2">
        <f>S16-M16</f>
        <v>81486</v>
      </c>
      <c r="U16" s="4">
        <f>IFERROR(T16/S16,0)</f>
        <v>0.5525</v>
      </c>
      <c r="V16" t="str" s="3">
        <f>IF(T16&lt;0,"RUGI SETELAH FEE","OK")</f>
        <v>OK</v>
      </c>
    </row>
    <row r="17">
      <c r="A17" s="8">
        <v>16</v>
      </c>
      <c r="B17" s="5">
        <v>46270</v>
      </c>
      <c r="C17" s="8" t="s">
        <v>191</v>
      </c>
      <c r="D17" s="3" t="s">
        <v>207</v>
      </c>
      <c r="E17" s="3" t="s">
        <v>30</v>
      </c>
      <c r="F17" t="str" s="3">
        <f>VLOOKUP(E17,'Master Inventory'!$B$2:$L$26,2,FALSE)</f>
        <v>Sheet Mask Brightening (Box 5pcs)</v>
      </c>
      <c r="G17" s="2">
        <v>2</v>
      </c>
      <c r="H17" s="2">
        <v>54500</v>
      </c>
      <c r="I17" s="4">
        <v>0.77</v>
      </c>
      <c r="J17" s="2">
        <v>12500</v>
      </c>
      <c r="K17" s="2">
        <f>J17*G17</f>
        <v>25000</v>
      </c>
      <c r="L17" s="2">
        <f>VLOOKUP(E17,'Master Inventory'!$B$2:$L$26,5,FALSE)</f>
        <v>20000</v>
      </c>
      <c r="M17" s="2">
        <f>L17*G17</f>
        <v>40000</v>
      </c>
      <c r="N17" s="2">
        <f>K17-M17</f>
        <v>-15000</v>
      </c>
      <c r="O17" s="4">
        <f>IFERROR(N17/K17,0)</f>
        <v>-0.6</v>
      </c>
      <c r="P17" t="str" s="3">
        <f>IF(J17&lt;L17,"BELOW COGS","OK")</f>
        <v>BELOW COGS</v>
      </c>
      <c r="Q17" s="4">
        <v>0.06</v>
      </c>
      <c r="R17" s="2">
        <f>K17*Q17</f>
        <v>1500</v>
      </c>
      <c r="S17" s="2">
        <f>K17-R17</f>
        <v>23500</v>
      </c>
      <c r="T17" s="2">
        <f>S17-M17</f>
        <v>-16500</v>
      </c>
      <c r="U17" s="4">
        <f>IFERROR(T17/S17,0)</f>
        <v>-0.702128</v>
      </c>
      <c r="V17" t="str" s="3">
        <f>IF(T17&lt;0,"RUGI SETELAH FEE","OK")</f>
        <v>RUGI SETELAH FEE</v>
      </c>
    </row>
    <row r="18">
      <c r="A18" s="8">
        <v>17</v>
      </c>
      <c r="B18" s="5">
        <v>46270</v>
      </c>
      <c r="C18" s="8" t="s">
        <v>191</v>
      </c>
      <c r="D18" s="3" t="s">
        <v>208</v>
      </c>
      <c r="E18" s="3" t="s">
        <v>35</v>
      </c>
      <c r="F18" t="str" s="3">
        <f>VLOOKUP(E18,'Master Inventory'!$B$2:$L$26,2,FALSE)</f>
        <v>Lip Cream Matte Long Lasting</v>
      </c>
      <c r="G18" s="2">
        <v>4</v>
      </c>
      <c r="H18" s="2">
        <v>45000</v>
      </c>
      <c r="I18" s="4">
        <v>0.11</v>
      </c>
      <c r="J18" s="2">
        <v>40000</v>
      </c>
      <c r="K18" s="2">
        <f>J18*G18</f>
        <v>160000</v>
      </c>
      <c r="L18" s="2">
        <f>VLOOKUP(E18,'Master Inventory'!$B$2:$L$26,5,FALSE)</f>
        <v>15000</v>
      </c>
      <c r="M18" s="2">
        <f>L18*G18</f>
        <v>60000</v>
      </c>
      <c r="N18" s="2">
        <f>K18-M18</f>
        <v>100000</v>
      </c>
      <c r="O18" s="4">
        <f>IFERROR(N18/K18,0)</f>
        <v>0.625</v>
      </c>
      <c r="P18" t="str" s="3">
        <f>IF(J18&lt;L18,"BELOW COGS","OK")</f>
        <v>OK</v>
      </c>
      <c r="Q18" s="4">
        <v>0.06</v>
      </c>
      <c r="R18" s="2">
        <f>K18*Q18</f>
        <v>9600</v>
      </c>
      <c r="S18" s="2">
        <f>K18-R18</f>
        <v>150400</v>
      </c>
      <c r="T18" s="2">
        <f>S18-M18</f>
        <v>90400</v>
      </c>
      <c r="U18" s="4">
        <f>IFERROR(T18/S18,0)</f>
        <v>0.601064</v>
      </c>
      <c r="V18" t="str" s="3">
        <f>IF(T18&lt;0,"RUGI SETELAH FEE","OK")</f>
        <v>OK</v>
      </c>
    </row>
    <row r="19">
      <c r="A19" s="8">
        <v>18</v>
      </c>
      <c r="B19" s="5">
        <v>46271</v>
      </c>
      <c r="C19" s="8" t="s">
        <v>191</v>
      </c>
      <c r="D19" s="3" t="s">
        <v>209</v>
      </c>
      <c r="E19" s="3" t="s">
        <v>35</v>
      </c>
      <c r="F19" t="str" s="3">
        <f>VLOOKUP(E19,'Master Inventory'!$B$2:$L$26,2,FALSE)</f>
        <v>Lip Cream Matte Long Lasting</v>
      </c>
      <c r="G19" s="2">
        <v>5</v>
      </c>
      <c r="H19" s="2">
        <v>44000</v>
      </c>
      <c r="I19" s="4">
        <v>0.16</v>
      </c>
      <c r="J19" s="2">
        <v>37000</v>
      </c>
      <c r="K19" s="2">
        <f>J19*G19</f>
        <v>185000</v>
      </c>
      <c r="L19" s="2">
        <f>VLOOKUP(E19,'Master Inventory'!$B$2:$L$26,5,FALSE)</f>
        <v>15000</v>
      </c>
      <c r="M19" s="2">
        <f>L19*G19</f>
        <v>75000</v>
      </c>
      <c r="N19" s="2">
        <f>K19-M19</f>
        <v>110000</v>
      </c>
      <c r="O19" s="4">
        <f>IFERROR(N19/K19,0)</f>
        <v>0.594595</v>
      </c>
      <c r="P19" t="str" s="3">
        <f>IF(J19&lt;L19,"BELOW COGS","OK")</f>
        <v>OK</v>
      </c>
      <c r="Q19" s="4">
        <v>0.06</v>
      </c>
      <c r="R19" s="2">
        <f>K19*Q19</f>
        <v>11100</v>
      </c>
      <c r="S19" s="2">
        <f>K19-R19</f>
        <v>173900</v>
      </c>
      <c r="T19" s="2">
        <f>S19-M19</f>
        <v>98900</v>
      </c>
      <c r="U19" s="4">
        <f>IFERROR(T19/S19,0)</f>
        <v>0.568718</v>
      </c>
      <c r="V19" t="str" s="3">
        <f>IF(T19&lt;0,"RUGI SETELAH FEE","OK")</f>
        <v>OK</v>
      </c>
    </row>
    <row r="20">
      <c r="A20" s="8">
        <v>19</v>
      </c>
      <c r="B20" s="5">
        <v>46271</v>
      </c>
      <c r="C20" s="8" t="s">
        <v>191</v>
      </c>
      <c r="D20" s="3" t="s">
        <v>210</v>
      </c>
      <c r="E20" s="3" t="s">
        <v>37</v>
      </c>
      <c r="F20" t="str" s="3">
        <f>VLOOKUP(E20,'Master Inventory'!$B$2:$L$26,2,FALSE)</f>
        <v>Cushion Foundation SPF35</v>
      </c>
      <c r="G20" s="2">
        <v>4</v>
      </c>
      <c r="H20" s="2">
        <v>140000</v>
      </c>
      <c r="I20" s="4">
        <v>0.77</v>
      </c>
      <c r="J20" s="2">
        <v>32200</v>
      </c>
      <c r="K20" s="2">
        <f>J20*G20</f>
        <v>128800</v>
      </c>
      <c r="L20" s="2">
        <f>VLOOKUP(E20,'Master Inventory'!$B$2:$L$26,5,FALSE)</f>
        <v>45000</v>
      </c>
      <c r="M20" s="2">
        <f>L20*G20</f>
        <v>180000</v>
      </c>
      <c r="N20" s="2">
        <f>K20-M20</f>
        <v>-51200</v>
      </c>
      <c r="O20" s="4">
        <f>IFERROR(N20/K20,0)</f>
        <v>-0.397516</v>
      </c>
      <c r="P20" t="str" s="3">
        <f>IF(J20&lt;L20,"BELOW COGS","OK")</f>
        <v>BELOW COGS</v>
      </c>
      <c r="Q20" s="4">
        <v>0.06</v>
      </c>
      <c r="R20" s="2">
        <f>K20*Q20</f>
        <v>7728</v>
      </c>
      <c r="S20" s="2">
        <f>K20-R20</f>
        <v>121072</v>
      </c>
      <c r="T20" s="2">
        <f>S20-M20</f>
        <v>-58928</v>
      </c>
      <c r="U20" s="4">
        <f>IFERROR(T20/S20,0)</f>
        <v>-0.486719</v>
      </c>
      <c r="V20" t="str" s="3">
        <f>IF(T20&lt;0,"RUGI SETELAH FEE","OK")</f>
        <v>RUGI SETELAH FEE</v>
      </c>
    </row>
    <row r="21">
      <c r="A21" s="8">
        <v>20</v>
      </c>
      <c r="B21" s="5">
        <v>46271</v>
      </c>
      <c r="C21" s="8" t="s">
        <v>191</v>
      </c>
      <c r="D21" s="3" t="s">
        <v>211</v>
      </c>
      <c r="E21" s="3" t="s">
        <v>26</v>
      </c>
      <c r="F21" t="str" s="3">
        <f>VLOOKUP(E21,'Master Inventory'!$B$2:$L$26,2,FALSE)</f>
        <v>Sunscreen SPF50 PA+++ 40ml</v>
      </c>
      <c r="G21" s="2">
        <v>1</v>
      </c>
      <c r="H21" s="2">
        <v>87000</v>
      </c>
      <c r="I21" s="4">
        <v>0.24</v>
      </c>
      <c r="J21" s="2">
        <v>66100</v>
      </c>
      <c r="K21" s="2">
        <f>J21*G21</f>
        <v>66100</v>
      </c>
      <c r="L21" s="2">
        <f>VLOOKUP(E21,'Master Inventory'!$B$2:$L$26,5,FALSE)</f>
        <v>30000</v>
      </c>
      <c r="M21" s="2">
        <f>L21*G21</f>
        <v>30000</v>
      </c>
      <c r="N21" s="2">
        <f>K21-M21</f>
        <v>36100</v>
      </c>
      <c r="O21" s="4">
        <f>IFERROR(N21/K21,0)</f>
        <v>0.546142</v>
      </c>
      <c r="P21" t="str" s="3">
        <f>IF(J21&lt;L21,"BELOW COGS","OK")</f>
        <v>OK</v>
      </c>
      <c r="Q21" s="4">
        <v>0.06</v>
      </c>
      <c r="R21" s="2">
        <f>K21*Q21</f>
        <v>3966</v>
      </c>
      <c r="S21" s="2">
        <f>K21-R21</f>
        <v>62134</v>
      </c>
      <c r="T21" s="2">
        <f>S21-M21</f>
        <v>32134</v>
      </c>
      <c r="U21" s="4">
        <f>IFERROR(T21/S21,0)</f>
        <v>0.517173</v>
      </c>
      <c r="V21" t="str" s="3">
        <f>IF(T21&lt;0,"RUGI SETELAH FEE","OK")</f>
        <v>OK</v>
      </c>
    </row>
    <row r="22">
      <c r="A22" s="8">
        <v>21</v>
      </c>
      <c r="B22" s="5">
        <v>46271</v>
      </c>
      <c r="C22" s="8" t="s">
        <v>191</v>
      </c>
      <c r="D22" s="3" t="s">
        <v>212</v>
      </c>
      <c r="E22" s="3" t="s">
        <v>28</v>
      </c>
      <c r="F22" t="str" s="3">
        <f>VLOOKUP(E22,'Master Inventory'!$B$2:$L$26,2,FALSE)</f>
        <v>Eye Cream Anti Aging 15ml</v>
      </c>
      <c r="G22" s="2">
        <v>2</v>
      </c>
      <c r="H22" s="2">
        <v>111000</v>
      </c>
      <c r="I22" s="4">
        <v>0.03</v>
      </c>
      <c r="J22" s="2">
        <v>107700</v>
      </c>
      <c r="K22" s="2">
        <f>J22*G22</f>
        <v>215400</v>
      </c>
      <c r="L22" s="2">
        <f>VLOOKUP(E22,'Master Inventory'!$B$2:$L$26,5,FALSE)</f>
        <v>38000</v>
      </c>
      <c r="M22" s="2">
        <f>L22*G22</f>
        <v>76000</v>
      </c>
      <c r="N22" s="2">
        <f>K22-M22</f>
        <v>139400</v>
      </c>
      <c r="O22" s="4">
        <f>IFERROR(N22/K22,0)</f>
        <v>0.647168</v>
      </c>
      <c r="P22" t="str" s="3">
        <f>IF(J22&lt;L22,"BELOW COGS","OK")</f>
        <v>OK</v>
      </c>
      <c r="Q22" s="4">
        <v>0.06</v>
      </c>
      <c r="R22" s="2">
        <f>K22*Q22</f>
        <v>12924</v>
      </c>
      <c r="S22" s="2">
        <f>K22-R22</f>
        <v>202476</v>
      </c>
      <c r="T22" s="2">
        <f>S22-M22</f>
        <v>126476</v>
      </c>
      <c r="U22" s="4">
        <f>IFERROR(T22/S22,0)</f>
        <v>0.624647</v>
      </c>
      <c r="V22" t="str" s="3">
        <f>IF(T22&lt;0,"RUGI SETELAH FEE","OK")</f>
        <v>OK</v>
      </c>
    </row>
    <row r="23">
      <c r="A23" s="8">
        <v>22</v>
      </c>
      <c r="B23" s="5">
        <v>46273</v>
      </c>
      <c r="C23" s="8" t="s">
        <v>191</v>
      </c>
      <c r="D23" s="3" t="s">
        <v>213</v>
      </c>
      <c r="E23" s="3" t="s">
        <v>47</v>
      </c>
      <c r="F23" t="str" s="3">
        <f>VLOOKUP(E23,'Master Inventory'!$B$2:$L$26,2,FALSE)</f>
        <v>Hair Serum Anti Frizz 60ml</v>
      </c>
      <c r="G23" s="2">
        <v>2</v>
      </c>
      <c r="H23" s="2">
        <v>66000</v>
      </c>
      <c r="I23" s="4">
        <v>0.18</v>
      </c>
      <c r="J23" s="2">
        <v>54100</v>
      </c>
      <c r="K23" s="2">
        <f>J23*G23</f>
        <v>108200</v>
      </c>
      <c r="L23" s="2">
        <f>VLOOKUP(E23,'Master Inventory'!$B$2:$L$26,5,FALSE)</f>
        <v>24000</v>
      </c>
      <c r="M23" s="2">
        <f>L23*G23</f>
        <v>48000</v>
      </c>
      <c r="N23" s="2">
        <f>K23-M23</f>
        <v>60200</v>
      </c>
      <c r="O23" s="4">
        <f>IFERROR(N23/K23,0)</f>
        <v>0.556377</v>
      </c>
      <c r="P23" t="str" s="3">
        <f>IF(J23&lt;L23,"BELOW COGS","OK")</f>
        <v>OK</v>
      </c>
      <c r="Q23" s="4">
        <v>0.06</v>
      </c>
      <c r="R23" s="2">
        <f>K23*Q23</f>
        <v>6492</v>
      </c>
      <c r="S23" s="2">
        <f>K23-R23</f>
        <v>101708</v>
      </c>
      <c r="T23" s="2">
        <f>S23-M23</f>
        <v>53708</v>
      </c>
      <c r="U23" s="4">
        <f>IFERROR(T23/S23,0)</f>
        <v>0.528061</v>
      </c>
      <c r="V23" t="str" s="3">
        <f>IF(T23&lt;0,"RUGI SETELAH FEE","OK")</f>
        <v>OK</v>
      </c>
    </row>
    <row r="24">
      <c r="A24" s="8">
        <v>23</v>
      </c>
      <c r="B24" s="5">
        <v>46273</v>
      </c>
      <c r="C24" s="8" t="s">
        <v>191</v>
      </c>
      <c r="D24" s="3" t="s">
        <v>214</v>
      </c>
      <c r="E24" s="3" t="s">
        <v>21</v>
      </c>
      <c r="F24" t="str" s="3">
        <f>VLOOKUP(E24,'Master Inventory'!$B$2:$L$26,2,FALSE)</f>
        <v>Serum Niacinamide 10% 20ml</v>
      </c>
      <c r="G24" s="2">
        <v>6</v>
      </c>
      <c r="H24" s="2">
        <v>83500</v>
      </c>
      <c r="I24" s="4">
        <v>0.67</v>
      </c>
      <c r="J24" s="2">
        <v>27600</v>
      </c>
      <c r="K24" s="2">
        <f>J24*G24</f>
        <v>165600</v>
      </c>
      <c r="L24" s="2">
        <f>VLOOKUP(E24,'Master Inventory'!$B$2:$L$26,5,FALSE)</f>
        <v>32000</v>
      </c>
      <c r="M24" s="2">
        <f>L24*G24</f>
        <v>192000</v>
      </c>
      <c r="N24" s="2">
        <f>K24-M24</f>
        <v>-26400</v>
      </c>
      <c r="O24" s="4">
        <f>IFERROR(N24/K24,0)</f>
        <v>-0.15942</v>
      </c>
      <c r="P24" t="str" s="3">
        <f>IF(J24&lt;L24,"BELOW COGS","OK")</f>
        <v>BELOW COGS</v>
      </c>
      <c r="Q24" s="4">
        <v>0.06</v>
      </c>
      <c r="R24" s="2">
        <f>K24*Q24</f>
        <v>9936</v>
      </c>
      <c r="S24" s="2">
        <f>K24-R24</f>
        <v>155664</v>
      </c>
      <c r="T24" s="2">
        <f>S24-M24</f>
        <v>-36336</v>
      </c>
      <c r="U24" s="4">
        <f>IFERROR(T24/S24,0)</f>
        <v>-0.233426</v>
      </c>
      <c r="V24" t="str" s="3">
        <f>IF(T24&lt;0,"RUGI SETELAH FEE","OK")</f>
        <v>RUGI SETELAH FEE</v>
      </c>
    </row>
    <row r="25">
      <c r="A25" s="8">
        <v>24</v>
      </c>
      <c r="B25" s="5">
        <v>46273</v>
      </c>
      <c r="C25" s="8" t="s">
        <v>191</v>
      </c>
      <c r="D25" s="3" t="s">
        <v>215</v>
      </c>
      <c r="E25" s="3" t="s">
        <v>21</v>
      </c>
      <c r="F25" t="str" s="3">
        <f>VLOOKUP(E25,'Master Inventory'!$B$2:$L$26,2,FALSE)</f>
        <v>Serum Niacinamide 10% 20ml</v>
      </c>
      <c r="G25" s="2">
        <v>5</v>
      </c>
      <c r="H25" s="2">
        <v>93500</v>
      </c>
      <c r="I25" s="4">
        <v>0.26</v>
      </c>
      <c r="J25" s="2">
        <v>69200</v>
      </c>
      <c r="K25" s="2">
        <f>J25*G25</f>
        <v>346000</v>
      </c>
      <c r="L25" s="2">
        <f>VLOOKUP(E25,'Master Inventory'!$B$2:$L$26,5,FALSE)</f>
        <v>32000</v>
      </c>
      <c r="M25" s="2">
        <f>L25*G25</f>
        <v>160000</v>
      </c>
      <c r="N25" s="2">
        <f>K25-M25</f>
        <v>186000</v>
      </c>
      <c r="O25" s="4">
        <f>IFERROR(N25/K25,0)</f>
        <v>0.537572</v>
      </c>
      <c r="P25" t="str" s="3">
        <f>IF(J25&lt;L25,"BELOW COGS","OK")</f>
        <v>OK</v>
      </c>
      <c r="Q25" s="4">
        <v>0.06</v>
      </c>
      <c r="R25" s="2">
        <f>K25*Q25</f>
        <v>20760</v>
      </c>
      <c r="S25" s="2">
        <f>K25-R25</f>
        <v>325240</v>
      </c>
      <c r="T25" s="2">
        <f>S25-M25</f>
        <v>165240</v>
      </c>
      <c r="U25" s="4">
        <f>IFERROR(T25/S25,0)</f>
        <v>0.508056</v>
      </c>
      <c r="V25" t="str" s="3">
        <f>IF(T25&lt;0,"RUGI SETELAH FEE","OK")</f>
        <v>OK</v>
      </c>
    </row>
    <row r="26">
      <c r="A26" s="8">
        <v>25</v>
      </c>
      <c r="B26" s="5">
        <v>46273</v>
      </c>
      <c r="C26" s="8" t="s">
        <v>191</v>
      </c>
      <c r="D26" s="3" t="s">
        <v>216</v>
      </c>
      <c r="E26" s="3" t="s">
        <v>68</v>
      </c>
      <c r="F26" t="str" s="3">
        <f>VLOOKUP(E26,'Master Inventory'!$B$2:$L$26,2,FALSE)</f>
        <v>Eau de Parfum 50ml</v>
      </c>
      <c r="G26" s="2">
        <v>5</v>
      </c>
      <c r="H26" s="2">
        <v>253000</v>
      </c>
      <c r="I26" s="4">
        <v>0.02</v>
      </c>
      <c r="J26" s="2">
        <v>247900</v>
      </c>
      <c r="K26" s="2">
        <f>J26*G26</f>
        <v>1239500</v>
      </c>
      <c r="L26" s="2">
        <f>VLOOKUP(E26,'Master Inventory'!$B$2:$L$26,5,FALSE)</f>
        <v>85000</v>
      </c>
      <c r="M26" s="2">
        <f>L26*G26</f>
        <v>425000</v>
      </c>
      <c r="N26" s="2">
        <f>K26-M26</f>
        <v>814500</v>
      </c>
      <c r="O26" s="4">
        <f>IFERROR(N26/K26,0)</f>
        <v>0.65712</v>
      </c>
      <c r="P26" t="str" s="3">
        <f>IF(J26&lt;L26,"BELOW COGS","OK")</f>
        <v>OK</v>
      </c>
      <c r="Q26" s="4">
        <v>0.06</v>
      </c>
      <c r="R26" s="2">
        <f>K26*Q26</f>
        <v>74370</v>
      </c>
      <c r="S26" s="2">
        <f>K26-R26</f>
        <v>1165130</v>
      </c>
      <c r="T26" s="2">
        <f>S26-M26</f>
        <v>740130</v>
      </c>
      <c r="U26" s="4">
        <f>IFERROR(T26/S26,0)</f>
        <v>0.635234</v>
      </c>
      <c r="V26" t="str" s="3">
        <f>IF(T26&lt;0,"RUGI SETELAH FEE","OK")</f>
        <v>OK</v>
      </c>
    </row>
    <row r="27">
      <c r="A27" s="8">
        <v>26</v>
      </c>
      <c r="B27" s="5">
        <v>46273</v>
      </c>
      <c r="C27" s="8" t="s">
        <v>191</v>
      </c>
      <c r="D27" s="3" t="s">
        <v>217</v>
      </c>
      <c r="E27" s="3" t="s">
        <v>26</v>
      </c>
      <c r="F27" t="str" s="3">
        <f>VLOOKUP(E27,'Master Inventory'!$B$2:$L$26,2,FALSE)</f>
        <v>Sunscreen SPF50 PA+++ 40ml</v>
      </c>
      <c r="G27" s="2">
        <v>5</v>
      </c>
      <c r="H27" s="2">
        <v>78000</v>
      </c>
      <c r="I27" s="4">
        <v>0.65</v>
      </c>
      <c r="J27" s="2">
        <v>27300</v>
      </c>
      <c r="K27" s="2">
        <f>J27*G27</f>
        <v>136500</v>
      </c>
      <c r="L27" s="2">
        <f>VLOOKUP(E27,'Master Inventory'!$B$2:$L$26,5,FALSE)</f>
        <v>30000</v>
      </c>
      <c r="M27" s="2">
        <f>L27*G27</f>
        <v>150000</v>
      </c>
      <c r="N27" s="2">
        <f>K27-M27</f>
        <v>-13500</v>
      </c>
      <c r="O27" s="4">
        <f>IFERROR(N27/K27,0)</f>
        <v>-0.098901</v>
      </c>
      <c r="P27" t="str" s="3">
        <f>IF(J27&lt;L27,"BELOW COGS","OK")</f>
        <v>BELOW COGS</v>
      </c>
      <c r="Q27" s="4">
        <v>0.06</v>
      </c>
      <c r="R27" s="2">
        <f>K27*Q27</f>
        <v>8190</v>
      </c>
      <c r="S27" s="2">
        <f>K27-R27</f>
        <v>128310</v>
      </c>
      <c r="T27" s="2">
        <f>S27-M27</f>
        <v>-21690</v>
      </c>
      <c r="U27" s="4">
        <f>IFERROR(T27/S27,0)</f>
        <v>-0.169044</v>
      </c>
      <c r="V27" t="str" s="3">
        <f>IF(T27&lt;0,"RUGI SETELAH FEE","OK")</f>
        <v>RUGI SETELAH FEE</v>
      </c>
    </row>
    <row r="28">
      <c r="A28" s="8">
        <v>27</v>
      </c>
      <c r="B28" s="5">
        <v>46273</v>
      </c>
      <c r="C28" s="8" t="s">
        <v>191</v>
      </c>
      <c r="D28" s="3" t="s">
        <v>218</v>
      </c>
      <c r="E28" s="3" t="s">
        <v>58</v>
      </c>
      <c r="F28" t="str" s="3">
        <f>VLOOKUP(E28,'Master Inventory'!$B$2:$L$26,2,FALSE)</f>
        <v>Body Lotion Brightening 200ml</v>
      </c>
      <c r="G28" s="2">
        <v>2</v>
      </c>
      <c r="H28" s="2">
        <v>48500</v>
      </c>
      <c r="I28" s="4">
        <v>0.01</v>
      </c>
      <c r="J28" s="2">
        <v>48000</v>
      </c>
      <c r="K28" s="2">
        <f>J28*G28</f>
        <v>96000</v>
      </c>
      <c r="L28" s="2">
        <f>VLOOKUP(E28,'Master Inventory'!$B$2:$L$26,5,FALSE)</f>
        <v>16000</v>
      </c>
      <c r="M28" s="2">
        <f>L28*G28</f>
        <v>32000</v>
      </c>
      <c r="N28" s="2">
        <f>K28-M28</f>
        <v>64000</v>
      </c>
      <c r="O28" s="4">
        <f>IFERROR(N28/K28,0)</f>
        <v>0.666667</v>
      </c>
      <c r="P28" t="str" s="3">
        <f>IF(J28&lt;L28,"BELOW COGS","OK")</f>
        <v>OK</v>
      </c>
      <c r="Q28" s="4">
        <v>0.06</v>
      </c>
      <c r="R28" s="2">
        <f>K28*Q28</f>
        <v>5760</v>
      </c>
      <c r="S28" s="2">
        <f>K28-R28</f>
        <v>90240</v>
      </c>
      <c r="T28" s="2">
        <f>S28-M28</f>
        <v>58240</v>
      </c>
      <c r="U28" s="4">
        <f>IFERROR(T28/S28,0)</f>
        <v>0.64539</v>
      </c>
      <c r="V28" t="str" s="3">
        <f>IF(T28&lt;0,"RUGI SETELAH FEE","OK")</f>
        <v>OK</v>
      </c>
    </row>
    <row r="29">
      <c r="A29" s="8">
        <v>28</v>
      </c>
      <c r="B29" s="5">
        <v>46273</v>
      </c>
      <c r="C29" s="8" t="s">
        <v>191</v>
      </c>
      <c r="D29" s="3" t="s">
        <v>219</v>
      </c>
      <c r="E29" s="3" t="s">
        <v>54</v>
      </c>
      <c r="F29" t="str" s="3">
        <f>VLOOKUP(E29,'Master Inventory'!$B$2:$L$26,2,FALSE)</f>
        <v>Hair Mist Perfume 100ml</v>
      </c>
      <c r="G29" s="2">
        <v>4</v>
      </c>
      <c r="H29" s="2">
        <v>56000</v>
      </c>
      <c r="I29" s="4">
        <v>0.0</v>
      </c>
      <c r="J29" s="2">
        <v>56000</v>
      </c>
      <c r="K29" s="2">
        <f>J29*G29</f>
        <v>224000</v>
      </c>
      <c r="L29" s="2">
        <f>VLOOKUP(E29,'Master Inventory'!$B$2:$L$26,5,FALSE)</f>
        <v>20000</v>
      </c>
      <c r="M29" s="2">
        <f>L29*G29</f>
        <v>80000</v>
      </c>
      <c r="N29" s="2">
        <f>K29-M29</f>
        <v>144000</v>
      </c>
      <c r="O29" s="4">
        <f>IFERROR(N29/K29,0)</f>
        <v>0.642857</v>
      </c>
      <c r="P29" t="str" s="3">
        <f>IF(J29&lt;L29,"BELOW COGS","OK")</f>
        <v>OK</v>
      </c>
      <c r="Q29" s="4">
        <v>0.06</v>
      </c>
      <c r="R29" s="2">
        <f>K29*Q29</f>
        <v>13440</v>
      </c>
      <c r="S29" s="2">
        <f>K29-R29</f>
        <v>210560</v>
      </c>
      <c r="T29" s="2">
        <f>S29-M29</f>
        <v>130560</v>
      </c>
      <c r="U29" s="4">
        <f>IFERROR(T29/S29,0)</f>
        <v>0.620061</v>
      </c>
      <c r="V29" t="str" s="3">
        <f>IF(T29&lt;0,"RUGI SETELAH FEE","OK")</f>
        <v>OK</v>
      </c>
    </row>
    <row r="30">
      <c r="A30" s="8">
        <v>29</v>
      </c>
      <c r="B30" s="5">
        <v>46274</v>
      </c>
      <c r="C30" s="8" t="s">
        <v>191</v>
      </c>
      <c r="D30" s="3" t="s">
        <v>220</v>
      </c>
      <c r="E30" s="3" t="s">
        <v>68</v>
      </c>
      <c r="F30" t="str" s="3">
        <f>VLOOKUP(E30,'Master Inventory'!$B$2:$L$26,2,FALSE)</f>
        <v>Eau de Parfum 50ml</v>
      </c>
      <c r="G30" s="2">
        <v>4</v>
      </c>
      <c r="H30" s="2">
        <v>246000</v>
      </c>
      <c r="I30" s="4">
        <v>0.55</v>
      </c>
      <c r="J30" s="2">
        <v>110700</v>
      </c>
      <c r="K30" s="2">
        <f>J30*G30</f>
        <v>442800</v>
      </c>
      <c r="L30" s="2">
        <f>VLOOKUP(E30,'Master Inventory'!$B$2:$L$26,5,FALSE)</f>
        <v>85000</v>
      </c>
      <c r="M30" s="2">
        <f>L30*G30</f>
        <v>340000</v>
      </c>
      <c r="N30" s="2">
        <f>K30-M30</f>
        <v>102800</v>
      </c>
      <c r="O30" s="4">
        <f>IFERROR(N30/K30,0)</f>
        <v>0.232159</v>
      </c>
      <c r="P30" t="str" s="3">
        <f>IF(J30&lt;L30,"BELOW COGS","OK")</f>
        <v>OK</v>
      </c>
      <c r="Q30" s="4">
        <v>0.06</v>
      </c>
      <c r="R30" s="2">
        <f>K30*Q30</f>
        <v>26568</v>
      </c>
      <c r="S30" s="2">
        <f>K30-R30</f>
        <v>416232</v>
      </c>
      <c r="T30" s="2">
        <f>S30-M30</f>
        <v>76232</v>
      </c>
      <c r="U30" s="4">
        <f>IFERROR(T30/S30,0)</f>
        <v>0.183148</v>
      </c>
      <c r="V30" t="str" s="3">
        <f>IF(T30&lt;0,"RUGI SETELAH FEE","OK")</f>
        <v>OK</v>
      </c>
    </row>
    <row r="31">
      <c r="A31" s="8">
        <v>30</v>
      </c>
      <c r="B31" s="5">
        <v>46274</v>
      </c>
      <c r="C31" s="8" t="s">
        <v>191</v>
      </c>
      <c r="D31" s="3" t="s">
        <v>221</v>
      </c>
      <c r="E31" s="3" t="s">
        <v>17</v>
      </c>
      <c r="F31" t="str" s="3">
        <f>VLOOKUP(E31,'Master Inventory'!$B$2:$L$26,2,FALSE)</f>
        <v>Toner Hydrating Rose 150ml</v>
      </c>
      <c r="G31" s="2">
        <v>1</v>
      </c>
      <c r="H31" s="2">
        <v>59500</v>
      </c>
      <c r="I31" s="4">
        <v>0.13</v>
      </c>
      <c r="J31" s="2">
        <v>51800</v>
      </c>
      <c r="K31" s="2">
        <f>J31*G31</f>
        <v>51800</v>
      </c>
      <c r="L31" s="2">
        <f>VLOOKUP(E31,'Master Inventory'!$B$2:$L$26,5,FALSE)</f>
        <v>22000</v>
      </c>
      <c r="M31" s="2">
        <f>L31*G31</f>
        <v>22000</v>
      </c>
      <c r="N31" s="2">
        <f>K31-M31</f>
        <v>29800</v>
      </c>
      <c r="O31" s="4">
        <f>IFERROR(N31/K31,0)</f>
        <v>0.57529</v>
      </c>
      <c r="P31" t="str" s="3">
        <f>IF(J31&lt;L31,"BELOW COGS","OK")</f>
        <v>OK</v>
      </c>
      <c r="Q31" s="4">
        <v>0.06</v>
      </c>
      <c r="R31" s="2">
        <f>K31*Q31</f>
        <v>3108</v>
      </c>
      <c r="S31" s="2">
        <f>K31-R31</f>
        <v>48692</v>
      </c>
      <c r="T31" s="2">
        <f>S31-M31</f>
        <v>26692</v>
      </c>
      <c r="U31" s="4">
        <f>IFERROR(T31/S31,0)</f>
        <v>0.54818</v>
      </c>
      <c r="V31" t="str" s="3">
        <f>IF(T31&lt;0,"RUGI SETELAH FEE","OK")</f>
        <v>OK</v>
      </c>
    </row>
    <row r="32">
      <c r="A32" s="8">
        <v>31</v>
      </c>
      <c r="B32" s="5">
        <v>46274</v>
      </c>
      <c r="C32" s="8" t="s">
        <v>191</v>
      </c>
      <c r="D32" s="3" t="s">
        <v>222</v>
      </c>
      <c r="E32" s="3" t="s">
        <v>54</v>
      </c>
      <c r="F32" t="str" s="3">
        <f>VLOOKUP(E32,'Master Inventory'!$B$2:$L$26,2,FALSE)</f>
        <v>Hair Mist Perfume 100ml</v>
      </c>
      <c r="G32" s="2">
        <v>1</v>
      </c>
      <c r="H32" s="2">
        <v>62000</v>
      </c>
      <c r="I32" s="4">
        <v>0.67</v>
      </c>
      <c r="J32" s="2">
        <v>20500</v>
      </c>
      <c r="K32" s="2">
        <f>J32*G32</f>
        <v>20500</v>
      </c>
      <c r="L32" s="2">
        <f>VLOOKUP(E32,'Master Inventory'!$B$2:$L$26,5,FALSE)</f>
        <v>20000</v>
      </c>
      <c r="M32" s="2">
        <f>L32*G32</f>
        <v>20000</v>
      </c>
      <c r="N32" s="2">
        <f>K32-M32</f>
        <v>500</v>
      </c>
      <c r="O32" s="4">
        <f>IFERROR(N32/K32,0)</f>
        <v>0.02439</v>
      </c>
      <c r="P32" t="str" s="3">
        <f>IF(J32&lt;L32,"BELOW COGS","OK")</f>
        <v>OK</v>
      </c>
      <c r="Q32" s="4">
        <v>0.06</v>
      </c>
      <c r="R32" s="2">
        <f>K32*Q32</f>
        <v>1230</v>
      </c>
      <c r="S32" s="2">
        <f>K32-R32</f>
        <v>19270</v>
      </c>
      <c r="T32" s="2">
        <f>S32-M32</f>
        <v>-730</v>
      </c>
      <c r="U32" s="4">
        <f>IFERROR(T32/S32,0)</f>
        <v>-0.037883</v>
      </c>
      <c r="V32" t="str" s="3">
        <f>IF(T32&lt;0,"RUGI SETELAH FEE","OK")</f>
        <v>RUGI SETELAH FEE</v>
      </c>
    </row>
    <row r="33">
      <c r="A33" s="8">
        <v>32</v>
      </c>
      <c r="B33" s="5">
        <v>46274</v>
      </c>
      <c r="C33" s="8" t="s">
        <v>191</v>
      </c>
      <c r="D33" s="3" t="s">
        <v>223</v>
      </c>
      <c r="E33" s="3" t="s">
        <v>43</v>
      </c>
      <c r="F33" t="str" s="3">
        <f>VLOOKUP(E33,'Master Inventory'!$B$2:$L$26,2,FALSE)</f>
        <v>Mascara Volume &amp; Curl</v>
      </c>
      <c r="G33" s="2">
        <v>4</v>
      </c>
      <c r="H33" s="2">
        <v>64500</v>
      </c>
      <c r="I33" s="4">
        <v>0.68</v>
      </c>
      <c r="J33" s="2">
        <v>20600</v>
      </c>
      <c r="K33" s="2">
        <f>J33*G33</f>
        <v>82400</v>
      </c>
      <c r="L33" s="2">
        <f>VLOOKUP(E33,'Master Inventory'!$B$2:$L$26,5,FALSE)</f>
        <v>18000</v>
      </c>
      <c r="M33" s="2">
        <f>L33*G33</f>
        <v>72000</v>
      </c>
      <c r="N33" s="2">
        <f>K33-M33</f>
        <v>10400</v>
      </c>
      <c r="O33" s="4">
        <f>IFERROR(N33/K33,0)</f>
        <v>0.126214</v>
      </c>
      <c r="P33" t="str" s="3">
        <f>IF(J33&lt;L33,"BELOW COGS","OK")</f>
        <v>OK</v>
      </c>
      <c r="Q33" s="4">
        <v>0.06</v>
      </c>
      <c r="R33" s="2">
        <f>K33*Q33</f>
        <v>4944</v>
      </c>
      <c r="S33" s="2">
        <f>K33-R33</f>
        <v>77456</v>
      </c>
      <c r="T33" s="2">
        <f>S33-M33</f>
        <v>5456</v>
      </c>
      <c r="U33" s="4">
        <f>IFERROR(T33/S33,0)</f>
        <v>0.07044</v>
      </c>
      <c r="V33" t="str" s="3">
        <f>IF(T33&lt;0,"RUGI SETELAH FEE","OK")</f>
        <v>OK</v>
      </c>
    </row>
    <row r="34">
      <c r="A34" s="8">
        <v>33</v>
      </c>
      <c r="B34" s="5">
        <v>46274</v>
      </c>
      <c r="C34" s="8" t="s">
        <v>191</v>
      </c>
      <c r="D34" s="3" t="s">
        <v>224</v>
      </c>
      <c r="E34" s="3" t="s">
        <v>68</v>
      </c>
      <c r="F34" t="str" s="3">
        <f>VLOOKUP(E34,'Master Inventory'!$B$2:$L$26,2,FALSE)</f>
        <v>Eau de Parfum 50ml</v>
      </c>
      <c r="G34" s="2">
        <v>4</v>
      </c>
      <c r="H34" s="2">
        <v>250500</v>
      </c>
      <c r="I34" s="4">
        <v>0.02</v>
      </c>
      <c r="J34" s="2">
        <v>245500</v>
      </c>
      <c r="K34" s="2">
        <f>J34*G34</f>
        <v>982000</v>
      </c>
      <c r="L34" s="2">
        <f>VLOOKUP(E34,'Master Inventory'!$B$2:$L$26,5,FALSE)</f>
        <v>85000</v>
      </c>
      <c r="M34" s="2">
        <f>L34*G34</f>
        <v>340000</v>
      </c>
      <c r="N34" s="2">
        <f>K34-M34</f>
        <v>642000</v>
      </c>
      <c r="O34" s="4">
        <f>IFERROR(N34/K34,0)</f>
        <v>0.653768</v>
      </c>
      <c r="P34" t="str" s="3">
        <f>IF(J34&lt;L34,"BELOW COGS","OK")</f>
        <v>OK</v>
      </c>
      <c r="Q34" s="4">
        <v>0.06</v>
      </c>
      <c r="R34" s="2">
        <f>K34*Q34</f>
        <v>58920</v>
      </c>
      <c r="S34" s="2">
        <f>K34-R34</f>
        <v>923080</v>
      </c>
      <c r="T34" s="2">
        <f>S34-M34</f>
        <v>583080</v>
      </c>
      <c r="U34" s="4">
        <f>IFERROR(T34/S34,0)</f>
        <v>0.631668</v>
      </c>
      <c r="V34" t="str" s="3">
        <f>IF(T34&lt;0,"RUGI SETELAH FEE","OK")</f>
        <v>OK</v>
      </c>
    </row>
    <row r="35">
      <c r="A35" s="8">
        <v>34</v>
      </c>
      <c r="B35" s="5">
        <v>46274</v>
      </c>
      <c r="C35" s="8" t="s">
        <v>191</v>
      </c>
      <c r="D35" s="3" t="s">
        <v>225</v>
      </c>
      <c r="E35" s="3" t="s">
        <v>61</v>
      </c>
      <c r="F35" t="str" s="3">
        <f>VLOOKUP(E35,'Master Inventory'!$B$2:$L$26,2,FALSE)</f>
        <v>Body Scrub Coffee 200g</v>
      </c>
      <c r="G35" s="2">
        <v>6</v>
      </c>
      <c r="H35" s="2">
        <v>50500</v>
      </c>
      <c r="I35" s="4">
        <v>0.13</v>
      </c>
      <c r="J35" s="2">
        <v>43900</v>
      </c>
      <c r="K35" s="2">
        <f>J35*G35</f>
        <v>263400</v>
      </c>
      <c r="L35" s="2">
        <f>VLOOKUP(E35,'Master Inventory'!$B$2:$L$26,5,FALSE)</f>
        <v>17000</v>
      </c>
      <c r="M35" s="2">
        <f>L35*G35</f>
        <v>102000</v>
      </c>
      <c r="N35" s="2">
        <f>K35-M35</f>
        <v>161400</v>
      </c>
      <c r="O35" s="4">
        <f>IFERROR(N35/K35,0)</f>
        <v>0.612756</v>
      </c>
      <c r="P35" t="str" s="3">
        <f>IF(J35&lt;L35,"BELOW COGS","OK")</f>
        <v>OK</v>
      </c>
      <c r="Q35" s="4">
        <v>0.06</v>
      </c>
      <c r="R35" s="2">
        <f>K35*Q35</f>
        <v>15804</v>
      </c>
      <c r="S35" s="2">
        <f>K35-R35</f>
        <v>247596</v>
      </c>
      <c r="T35" s="2">
        <f>S35-M35</f>
        <v>145596</v>
      </c>
      <c r="U35" s="4">
        <f>IFERROR(T35/S35,0)</f>
        <v>0.588039</v>
      </c>
      <c r="V35" t="str" s="3">
        <f>IF(T35&lt;0,"RUGI SETELAH FEE","OK")</f>
        <v>OK</v>
      </c>
    </row>
    <row r="36">
      <c r="A36" s="8">
        <v>35</v>
      </c>
      <c r="B36" s="5">
        <v>46275</v>
      </c>
      <c r="C36" s="8" t="s">
        <v>191</v>
      </c>
      <c r="D36" s="3" t="s">
        <v>226</v>
      </c>
      <c r="E36" s="3" t="s">
        <v>30</v>
      </c>
      <c r="F36" t="str" s="3">
        <f>VLOOKUP(E36,'Master Inventory'!$B$2:$L$26,2,FALSE)</f>
        <v>Sheet Mask Brightening (Box 5pcs)</v>
      </c>
      <c r="G36" s="2">
        <v>3</v>
      </c>
      <c r="H36" s="2">
        <v>51500</v>
      </c>
      <c r="I36" s="4">
        <v>0.67</v>
      </c>
      <c r="J36" s="2">
        <v>17000</v>
      </c>
      <c r="K36" s="2">
        <f>J36*G36</f>
        <v>51000</v>
      </c>
      <c r="L36" s="2">
        <f>VLOOKUP(E36,'Master Inventory'!$B$2:$L$26,5,FALSE)</f>
        <v>20000</v>
      </c>
      <c r="M36" s="2">
        <f>L36*G36</f>
        <v>60000</v>
      </c>
      <c r="N36" s="2">
        <f>K36-M36</f>
        <v>-9000</v>
      </c>
      <c r="O36" s="4">
        <f>IFERROR(N36/K36,0)</f>
        <v>-0.176471</v>
      </c>
      <c r="P36" t="str" s="3">
        <f>IF(J36&lt;L36,"BELOW COGS","OK")</f>
        <v>BELOW COGS</v>
      </c>
      <c r="Q36" s="4">
        <v>0.06</v>
      </c>
      <c r="R36" s="2">
        <f>K36*Q36</f>
        <v>3060</v>
      </c>
      <c r="S36" s="2">
        <f>K36-R36</f>
        <v>47940</v>
      </c>
      <c r="T36" s="2">
        <f>S36-M36</f>
        <v>-12060</v>
      </c>
      <c r="U36" s="4">
        <f>IFERROR(T36/S36,0)</f>
        <v>-0.251564</v>
      </c>
      <c r="V36" t="str" s="3">
        <f>IF(T36&lt;0,"RUGI SETELAH FEE","OK")</f>
        <v>RUGI SETELAH FEE</v>
      </c>
    </row>
    <row r="37">
      <c r="A37" s="8">
        <v>36</v>
      </c>
      <c r="B37" s="5">
        <v>46275</v>
      </c>
      <c r="C37" s="8" t="s">
        <v>191</v>
      </c>
      <c r="D37" s="3" t="s">
        <v>227</v>
      </c>
      <c r="E37" s="3" t="s">
        <v>12</v>
      </c>
      <c r="F37" t="str" s="3">
        <f>VLOOKUP(E37,'Master Inventory'!$B$2:$L$26,2,FALSE)</f>
        <v>Facial Wash Gentle Foam 100ml</v>
      </c>
      <c r="G37" s="2">
        <v>1</v>
      </c>
      <c r="H37" s="2">
        <v>43500</v>
      </c>
      <c r="I37" s="4">
        <v>0.63</v>
      </c>
      <c r="J37" s="2">
        <v>16100</v>
      </c>
      <c r="K37" s="2">
        <f>J37*G37</f>
        <v>16100</v>
      </c>
      <c r="L37" s="2">
        <f>VLOOKUP(E37,'Master Inventory'!$B$2:$L$26,5,FALSE)</f>
        <v>16000</v>
      </c>
      <c r="M37" s="2">
        <f>L37*G37</f>
        <v>16000</v>
      </c>
      <c r="N37" s="2">
        <f>K37-M37</f>
        <v>100</v>
      </c>
      <c r="O37" s="4">
        <f>IFERROR(N37/K37,0)</f>
        <v>0.006211</v>
      </c>
      <c r="P37" t="str" s="3">
        <f>IF(J37&lt;L37,"BELOW COGS","OK")</f>
        <v>OK</v>
      </c>
      <c r="Q37" s="4">
        <v>0.06</v>
      </c>
      <c r="R37" s="2">
        <f>K37*Q37</f>
        <v>966</v>
      </c>
      <c r="S37" s="2">
        <f>K37-R37</f>
        <v>15134</v>
      </c>
      <c r="T37" s="2">
        <f>S37-M37</f>
        <v>-866</v>
      </c>
      <c r="U37" s="4">
        <f>IFERROR(T37/S37,0)</f>
        <v>-0.057222</v>
      </c>
      <c r="V37" t="str" s="3">
        <f>IF(T37&lt;0,"RUGI SETELAH FEE","OK")</f>
        <v>RUGI SETELAH FEE</v>
      </c>
    </row>
    <row r="38">
      <c r="A38" s="8">
        <v>37</v>
      </c>
      <c r="B38" s="5">
        <v>46276</v>
      </c>
      <c r="C38" s="8" t="s">
        <v>191</v>
      </c>
      <c r="D38" s="3" t="s">
        <v>228</v>
      </c>
      <c r="E38" s="3" t="s">
        <v>56</v>
      </c>
      <c r="F38" t="str" s="3">
        <f>VLOOKUP(E38,'Master Inventory'!$B$2:$L$26,2,FALSE)</f>
        <v>Hair Vitamin Ampoule (Box 6pcs)</v>
      </c>
      <c r="G38" s="2">
        <v>3</v>
      </c>
      <c r="H38" s="2">
        <v>65000</v>
      </c>
      <c r="I38" s="4">
        <v>0.71</v>
      </c>
      <c r="J38" s="2">
        <v>18900</v>
      </c>
      <c r="K38" s="2">
        <f>J38*G38</f>
        <v>56700</v>
      </c>
      <c r="L38" s="2">
        <f>VLOOKUP(E38,'Master Inventory'!$B$2:$L$26,5,FALSE)</f>
        <v>26000</v>
      </c>
      <c r="M38" s="2">
        <f>L38*G38</f>
        <v>78000</v>
      </c>
      <c r="N38" s="2">
        <f>K38-M38</f>
        <v>-21300</v>
      </c>
      <c r="O38" s="4">
        <f>IFERROR(N38/K38,0)</f>
        <v>-0.375661</v>
      </c>
      <c r="P38" t="str" s="3">
        <f>IF(J38&lt;L38,"BELOW COGS","OK")</f>
        <v>BELOW COGS</v>
      </c>
      <c r="Q38" s="4">
        <v>0.06</v>
      </c>
      <c r="R38" s="2">
        <f>K38*Q38</f>
        <v>3402</v>
      </c>
      <c r="S38" s="2">
        <f>K38-R38</f>
        <v>53298</v>
      </c>
      <c r="T38" s="2">
        <f>S38-M38</f>
        <v>-24702</v>
      </c>
      <c r="U38" s="4">
        <f>IFERROR(T38/S38,0)</f>
        <v>-0.46347</v>
      </c>
      <c r="V38" t="str" s="3">
        <f>IF(T38&lt;0,"RUGI SETELAH FEE","OK")</f>
        <v>RUGI SETELAH FEE</v>
      </c>
    </row>
    <row r="39">
      <c r="A39" s="8">
        <v>38</v>
      </c>
      <c r="B39" s="5">
        <v>46277</v>
      </c>
      <c r="C39" s="8" t="s">
        <v>191</v>
      </c>
      <c r="D39" s="3" t="s">
        <v>229</v>
      </c>
      <c r="E39" s="3" t="s">
        <v>58</v>
      </c>
      <c r="F39" t="str" s="3">
        <f>VLOOKUP(E39,'Master Inventory'!$B$2:$L$26,2,FALSE)</f>
        <v>Body Lotion Brightening 200ml</v>
      </c>
      <c r="G39" s="2">
        <v>4</v>
      </c>
      <c r="H39" s="2">
        <v>47000</v>
      </c>
      <c r="I39" s="4">
        <v>0.25</v>
      </c>
      <c r="J39" s="2">
        <v>35200</v>
      </c>
      <c r="K39" s="2">
        <f>J39*G39</f>
        <v>140800</v>
      </c>
      <c r="L39" s="2">
        <f>VLOOKUP(E39,'Master Inventory'!$B$2:$L$26,5,FALSE)</f>
        <v>16000</v>
      </c>
      <c r="M39" s="2">
        <f>L39*G39</f>
        <v>64000</v>
      </c>
      <c r="N39" s="2">
        <f>K39-M39</f>
        <v>76800</v>
      </c>
      <c r="O39" s="4">
        <f>IFERROR(N39/K39,0)</f>
        <v>0.545455</v>
      </c>
      <c r="P39" t="str" s="3">
        <f>IF(J39&lt;L39,"BELOW COGS","OK")</f>
        <v>OK</v>
      </c>
      <c r="Q39" s="4">
        <v>0.06</v>
      </c>
      <c r="R39" s="2">
        <f>K39*Q39</f>
        <v>8448</v>
      </c>
      <c r="S39" s="2">
        <f>K39-R39</f>
        <v>132352</v>
      </c>
      <c r="T39" s="2">
        <f>S39-M39</f>
        <v>68352</v>
      </c>
      <c r="U39" s="4">
        <f>IFERROR(T39/S39,0)</f>
        <v>0.516441</v>
      </c>
      <c r="V39" t="str" s="3">
        <f>IF(T39&lt;0,"RUGI SETELAH FEE","OK")</f>
        <v>OK</v>
      </c>
    </row>
    <row r="40">
      <c r="A40" s="8">
        <v>39</v>
      </c>
      <c r="B40" s="5">
        <v>46277</v>
      </c>
      <c r="C40" s="8" t="s">
        <v>191</v>
      </c>
      <c r="D40" s="3" t="s">
        <v>230</v>
      </c>
      <c r="E40" s="3" t="s">
        <v>32</v>
      </c>
      <c r="F40" t="str" s="3">
        <f>VLOOKUP(E40,'Master Inventory'!$B$2:$L$26,2,FALSE)</f>
        <v>Lip Tint Velvet Matte</v>
      </c>
      <c r="G40" s="2">
        <v>3</v>
      </c>
      <c r="H40" s="2">
        <v>37500</v>
      </c>
      <c r="I40" s="4">
        <v>0.28</v>
      </c>
      <c r="J40" s="2">
        <v>27000</v>
      </c>
      <c r="K40" s="2">
        <f>J40*G40</f>
        <v>81000</v>
      </c>
      <c r="L40" s="2">
        <f>VLOOKUP(E40,'Master Inventory'!$B$2:$L$26,5,FALSE)</f>
        <v>14000</v>
      </c>
      <c r="M40" s="2">
        <f>L40*G40</f>
        <v>42000</v>
      </c>
      <c r="N40" s="2">
        <f>K40-M40</f>
        <v>39000</v>
      </c>
      <c r="O40" s="4">
        <f>IFERROR(N40/K40,0)</f>
        <v>0.481481</v>
      </c>
      <c r="P40" t="str" s="3">
        <f>IF(J40&lt;L40,"BELOW COGS","OK")</f>
        <v>OK</v>
      </c>
      <c r="Q40" s="4">
        <v>0.06</v>
      </c>
      <c r="R40" s="2">
        <f>K40*Q40</f>
        <v>4860</v>
      </c>
      <c r="S40" s="2">
        <f>K40-R40</f>
        <v>76140</v>
      </c>
      <c r="T40" s="2">
        <f>S40-M40</f>
        <v>34140</v>
      </c>
      <c r="U40" s="4">
        <f>IFERROR(T40/S40,0)</f>
        <v>0.448385</v>
      </c>
      <c r="V40" t="str" s="3">
        <f>IF(T40&lt;0,"RUGI SETELAH FEE","OK")</f>
        <v>OK</v>
      </c>
    </row>
    <row r="41">
      <c r="A41" s="8">
        <v>40</v>
      </c>
      <c r="B41" s="5">
        <v>46277</v>
      </c>
      <c r="C41" s="8" t="s">
        <v>191</v>
      </c>
      <c r="D41" s="3" t="s">
        <v>231</v>
      </c>
      <c r="E41" s="3" t="s">
        <v>65</v>
      </c>
      <c r="F41" t="str" s="3">
        <f>VLOOKUP(E41,'Master Inventory'!$B$2:$L$26,2,FALSE)</f>
        <v>Eau de Toilette 30ml</v>
      </c>
      <c r="G41" s="2">
        <v>2</v>
      </c>
      <c r="H41" s="2">
        <v>164500</v>
      </c>
      <c r="I41" s="4">
        <v>0.72</v>
      </c>
      <c r="J41" s="2">
        <v>46100</v>
      </c>
      <c r="K41" s="2">
        <f>J41*G41</f>
        <v>92200</v>
      </c>
      <c r="L41" s="2">
        <f>VLOOKUP(E41,'Master Inventory'!$B$2:$L$26,5,FALSE)</f>
        <v>55000</v>
      </c>
      <c r="M41" s="2">
        <f>L41*G41</f>
        <v>110000</v>
      </c>
      <c r="N41" s="2">
        <f>K41-M41</f>
        <v>-17800</v>
      </c>
      <c r="O41" s="4">
        <f>IFERROR(N41/K41,0)</f>
        <v>-0.193059</v>
      </c>
      <c r="P41" t="str" s="3">
        <f>IF(J41&lt;L41,"BELOW COGS","OK")</f>
        <v>BELOW COGS</v>
      </c>
      <c r="Q41" s="4">
        <v>0.06</v>
      </c>
      <c r="R41" s="2">
        <f>K41*Q41</f>
        <v>5532</v>
      </c>
      <c r="S41" s="2">
        <f>K41-R41</f>
        <v>86668</v>
      </c>
      <c r="T41" s="2">
        <f>S41-M41</f>
        <v>-23332</v>
      </c>
      <c r="U41" s="4">
        <f>IFERROR(T41/S41,0)</f>
        <v>-0.269211</v>
      </c>
      <c r="V41" t="str" s="3">
        <f>IF(T41&lt;0,"RUGI SETELAH FEE","OK")</f>
        <v>RUGI SETELAH FEE</v>
      </c>
    </row>
    <row r="42">
      <c r="A42" s="8">
        <v>41</v>
      </c>
      <c r="B42" s="5">
        <v>46278</v>
      </c>
      <c r="C42" s="8" t="s">
        <v>191</v>
      </c>
      <c r="D42" s="3" t="s">
        <v>232</v>
      </c>
      <c r="E42" s="3" t="s">
        <v>37</v>
      </c>
      <c r="F42" t="str" s="3">
        <f>VLOOKUP(E42,'Master Inventory'!$B$2:$L$26,2,FALSE)</f>
        <v>Cushion Foundation SPF35</v>
      </c>
      <c r="G42" s="2">
        <v>2</v>
      </c>
      <c r="H42" s="2">
        <v>134000</v>
      </c>
      <c r="I42" s="4">
        <v>0.75</v>
      </c>
      <c r="J42" s="2">
        <v>33500</v>
      </c>
      <c r="K42" s="2">
        <f>J42*G42</f>
        <v>67000</v>
      </c>
      <c r="L42" s="2">
        <f>VLOOKUP(E42,'Master Inventory'!$B$2:$L$26,5,FALSE)</f>
        <v>45000</v>
      </c>
      <c r="M42" s="2">
        <f>L42*G42</f>
        <v>90000</v>
      </c>
      <c r="N42" s="2">
        <f>K42-M42</f>
        <v>-23000</v>
      </c>
      <c r="O42" s="4">
        <f>IFERROR(N42/K42,0)</f>
        <v>-0.343284</v>
      </c>
      <c r="P42" t="str" s="3">
        <f>IF(J42&lt;L42,"BELOW COGS","OK")</f>
        <v>BELOW COGS</v>
      </c>
      <c r="Q42" s="4">
        <v>0.06</v>
      </c>
      <c r="R42" s="2">
        <f>K42*Q42</f>
        <v>4020</v>
      </c>
      <c r="S42" s="2">
        <f>K42-R42</f>
        <v>62980</v>
      </c>
      <c r="T42" s="2">
        <f>S42-M42</f>
        <v>-27020</v>
      </c>
      <c r="U42" s="4">
        <f>IFERROR(T42/S42,0)</f>
        <v>-0.429025</v>
      </c>
      <c r="V42" t="str" s="3">
        <f>IF(T42&lt;0,"RUGI SETELAH FEE","OK")</f>
        <v>RUGI SETELAH FEE</v>
      </c>
    </row>
    <row r="43">
      <c r="A43" s="8">
        <v>42</v>
      </c>
      <c r="B43" s="5">
        <v>46278</v>
      </c>
      <c r="C43" s="8" t="s">
        <v>191</v>
      </c>
      <c r="D43" s="3" t="s">
        <v>233</v>
      </c>
      <c r="E43" s="3" t="s">
        <v>37</v>
      </c>
      <c r="F43" t="str" s="3">
        <f>VLOOKUP(E43,'Master Inventory'!$B$2:$L$26,2,FALSE)</f>
        <v>Cushion Foundation SPF35</v>
      </c>
      <c r="G43" s="2">
        <v>1</v>
      </c>
      <c r="H43" s="2">
        <v>135000</v>
      </c>
      <c r="I43" s="4">
        <v>0.66</v>
      </c>
      <c r="J43" s="2">
        <v>45900</v>
      </c>
      <c r="K43" s="2">
        <f>J43*G43</f>
        <v>45900</v>
      </c>
      <c r="L43" s="2">
        <f>VLOOKUP(E43,'Master Inventory'!$B$2:$L$26,5,FALSE)</f>
        <v>45000</v>
      </c>
      <c r="M43" s="2">
        <f>L43*G43</f>
        <v>45000</v>
      </c>
      <c r="N43" s="2">
        <f>K43-M43</f>
        <v>900</v>
      </c>
      <c r="O43" s="4">
        <f>IFERROR(N43/K43,0)</f>
        <v>0.019608</v>
      </c>
      <c r="P43" t="str" s="3">
        <f>IF(J43&lt;L43,"BELOW COGS","OK")</f>
        <v>OK</v>
      </c>
      <c r="Q43" s="4">
        <v>0.06</v>
      </c>
      <c r="R43" s="2">
        <f>K43*Q43</f>
        <v>2754</v>
      </c>
      <c r="S43" s="2">
        <f>K43-R43</f>
        <v>43146</v>
      </c>
      <c r="T43" s="2">
        <f>S43-M43</f>
        <v>-1854</v>
      </c>
      <c r="U43" s="4">
        <f>IFERROR(T43/S43,0)</f>
        <v>-0.04297</v>
      </c>
      <c r="V43" t="str" s="3">
        <f>IF(T43&lt;0,"RUGI SETELAH FEE","OK")</f>
        <v>RUGI SETELAH FEE</v>
      </c>
    </row>
    <row r="44">
      <c r="A44" s="8">
        <v>43</v>
      </c>
      <c r="B44" s="5">
        <v>46278</v>
      </c>
      <c r="C44" s="8" t="s">
        <v>191</v>
      </c>
      <c r="D44" s="3" t="s">
        <v>234</v>
      </c>
      <c r="E44" s="3" t="s">
        <v>28</v>
      </c>
      <c r="F44" t="str" s="3">
        <f>VLOOKUP(E44,'Master Inventory'!$B$2:$L$26,2,FALSE)</f>
        <v>Eye Cream Anti Aging 15ml</v>
      </c>
      <c r="G44" s="2">
        <v>5</v>
      </c>
      <c r="H44" s="2">
        <v>105000</v>
      </c>
      <c r="I44" s="4">
        <v>0.07</v>
      </c>
      <c r="J44" s="2">
        <v>97600</v>
      </c>
      <c r="K44" s="2">
        <f>J44*G44</f>
        <v>488000</v>
      </c>
      <c r="L44" s="2">
        <f>VLOOKUP(E44,'Master Inventory'!$B$2:$L$26,5,FALSE)</f>
        <v>38000</v>
      </c>
      <c r="M44" s="2">
        <f>L44*G44</f>
        <v>190000</v>
      </c>
      <c r="N44" s="2">
        <f>K44-M44</f>
        <v>298000</v>
      </c>
      <c r="O44" s="4">
        <f>IFERROR(N44/K44,0)</f>
        <v>0.610656</v>
      </c>
      <c r="P44" t="str" s="3">
        <f>IF(J44&lt;L44,"BELOW COGS","OK")</f>
        <v>OK</v>
      </c>
      <c r="Q44" s="4">
        <v>0.06</v>
      </c>
      <c r="R44" s="2">
        <f>K44*Q44</f>
        <v>29280</v>
      </c>
      <c r="S44" s="2">
        <f>K44-R44</f>
        <v>458720</v>
      </c>
      <c r="T44" s="2">
        <f>S44-M44</f>
        <v>268720</v>
      </c>
      <c r="U44" s="4">
        <f>IFERROR(T44/S44,0)</f>
        <v>0.585804</v>
      </c>
      <c r="V44" t="str" s="3">
        <f>IF(T44&lt;0,"RUGI SETELAH FEE","OK")</f>
        <v>OK</v>
      </c>
    </row>
    <row r="45">
      <c r="A45" s="8">
        <v>44</v>
      </c>
      <c r="B45" s="5">
        <v>46278</v>
      </c>
      <c r="C45" s="8" t="s">
        <v>191</v>
      </c>
      <c r="D45" s="3" t="s">
        <v>235</v>
      </c>
      <c r="E45" s="3" t="s">
        <v>54</v>
      </c>
      <c r="F45" t="str" s="3">
        <f>VLOOKUP(E45,'Master Inventory'!$B$2:$L$26,2,FALSE)</f>
        <v>Hair Mist Perfume 100ml</v>
      </c>
      <c r="G45" s="2">
        <v>3</v>
      </c>
      <c r="H45" s="2">
        <v>60000</v>
      </c>
      <c r="I45" s="4">
        <v>0.02</v>
      </c>
      <c r="J45" s="2">
        <v>58800</v>
      </c>
      <c r="K45" s="2">
        <f>J45*G45</f>
        <v>176400</v>
      </c>
      <c r="L45" s="2">
        <f>VLOOKUP(E45,'Master Inventory'!$B$2:$L$26,5,FALSE)</f>
        <v>20000</v>
      </c>
      <c r="M45" s="2">
        <f>L45*G45</f>
        <v>60000</v>
      </c>
      <c r="N45" s="2">
        <f>K45-M45</f>
        <v>116400</v>
      </c>
      <c r="O45" s="4">
        <f>IFERROR(N45/K45,0)</f>
        <v>0.659864</v>
      </c>
      <c r="P45" t="str" s="3">
        <f>IF(J45&lt;L45,"BELOW COGS","OK")</f>
        <v>OK</v>
      </c>
      <c r="Q45" s="4">
        <v>0.06</v>
      </c>
      <c r="R45" s="2">
        <f>K45*Q45</f>
        <v>10584</v>
      </c>
      <c r="S45" s="2">
        <f>K45-R45</f>
        <v>165816</v>
      </c>
      <c r="T45" s="2">
        <f>S45-M45</f>
        <v>105816</v>
      </c>
      <c r="U45" s="4">
        <f>IFERROR(T45/S45,0)</f>
        <v>0.638153</v>
      </c>
      <c r="V45" t="str" s="3">
        <f>IF(T45&lt;0,"RUGI SETELAH FEE","OK")</f>
        <v>OK</v>
      </c>
    </row>
    <row r="46">
      <c r="A46" s="8">
        <v>45</v>
      </c>
      <c r="B46" s="5">
        <v>46279</v>
      </c>
      <c r="C46" s="8" t="s">
        <v>191</v>
      </c>
      <c r="D46" s="3" t="s">
        <v>236</v>
      </c>
      <c r="E46" s="3" t="s">
        <v>65</v>
      </c>
      <c r="F46" t="str" s="3">
        <f>VLOOKUP(E46,'Master Inventory'!$B$2:$L$26,2,FALSE)</f>
        <v>Eau de Toilette 30ml</v>
      </c>
      <c r="G46" s="2">
        <v>5</v>
      </c>
      <c r="H46" s="2">
        <v>170500</v>
      </c>
      <c r="I46" s="4">
        <v>0.07</v>
      </c>
      <c r="J46" s="2">
        <v>158600</v>
      </c>
      <c r="K46" s="2">
        <f>J46*G46</f>
        <v>793000</v>
      </c>
      <c r="L46" s="2">
        <f>VLOOKUP(E46,'Master Inventory'!$B$2:$L$26,5,FALSE)</f>
        <v>55000</v>
      </c>
      <c r="M46" s="2">
        <f>L46*G46</f>
        <v>275000</v>
      </c>
      <c r="N46" s="2">
        <f>K46-M46</f>
        <v>518000</v>
      </c>
      <c r="O46" s="4">
        <f>IFERROR(N46/K46,0)</f>
        <v>0.653216</v>
      </c>
      <c r="P46" t="str" s="3">
        <f>IF(J46&lt;L46,"BELOW COGS","OK")</f>
        <v>OK</v>
      </c>
      <c r="Q46" s="4">
        <v>0.06</v>
      </c>
      <c r="R46" s="2">
        <f>K46*Q46</f>
        <v>47580</v>
      </c>
      <c r="S46" s="2">
        <f>K46-R46</f>
        <v>745420</v>
      </c>
      <c r="T46" s="2">
        <f>S46-M46</f>
        <v>470420</v>
      </c>
      <c r="U46" s="4">
        <f>IFERROR(T46/S46,0)</f>
        <v>0.63108</v>
      </c>
      <c r="V46" t="str" s="3">
        <f>IF(T46&lt;0,"RUGI SETELAH FEE","OK")</f>
        <v>OK</v>
      </c>
    </row>
    <row r="47">
      <c r="A47" s="8">
        <v>46</v>
      </c>
      <c r="B47" s="5">
        <v>46279</v>
      </c>
      <c r="C47" s="8" t="s">
        <v>191</v>
      </c>
      <c r="D47" s="3" t="s">
        <v>237</v>
      </c>
      <c r="E47" s="3" t="s">
        <v>19</v>
      </c>
      <c r="F47" t="str" s="3">
        <f>VLOOKUP(E47,'Master Inventory'!$B$2:$L$26,2,FALSE)</f>
        <v>Serum Vitamin C 20ml</v>
      </c>
      <c r="G47" s="2">
        <v>2</v>
      </c>
      <c r="H47" s="2">
        <v>108500</v>
      </c>
      <c r="I47" s="4">
        <v>0.04</v>
      </c>
      <c r="J47" s="2">
        <v>104200</v>
      </c>
      <c r="K47" s="2">
        <f>J47*G47</f>
        <v>208400</v>
      </c>
      <c r="L47" s="2">
        <f>VLOOKUP(E47,'Master Inventory'!$B$2:$L$26,5,FALSE)</f>
        <v>35000</v>
      </c>
      <c r="M47" s="2">
        <f>L47*G47</f>
        <v>70000</v>
      </c>
      <c r="N47" s="2">
        <f>K47-M47</f>
        <v>138400</v>
      </c>
      <c r="O47" s="4">
        <f>IFERROR(N47/K47,0)</f>
        <v>0.664107</v>
      </c>
      <c r="P47" t="str" s="3">
        <f>IF(J47&lt;L47,"BELOW COGS","OK")</f>
        <v>OK</v>
      </c>
      <c r="Q47" s="4">
        <v>0.06</v>
      </c>
      <c r="R47" s="2">
        <f>K47*Q47</f>
        <v>12504</v>
      </c>
      <c r="S47" s="2">
        <f>K47-R47</f>
        <v>195896</v>
      </c>
      <c r="T47" s="2">
        <f>S47-M47</f>
        <v>125896</v>
      </c>
      <c r="U47" s="4">
        <f>IFERROR(T47/S47,0)</f>
        <v>0.642668</v>
      </c>
      <c r="V47" t="str" s="3">
        <f>IF(T47&lt;0,"RUGI SETELAH FEE","OK")</f>
        <v>OK</v>
      </c>
    </row>
    <row r="48">
      <c r="A48" s="8">
        <v>47</v>
      </c>
      <c r="B48" s="5">
        <v>46279</v>
      </c>
      <c r="C48" s="8" t="s">
        <v>191</v>
      </c>
      <c r="D48" s="3" t="s">
        <v>238</v>
      </c>
      <c r="E48" s="3" t="s">
        <v>23</v>
      </c>
      <c r="F48" t="str" s="3">
        <f>VLOOKUP(E48,'Master Inventory'!$B$2:$L$26,2,FALSE)</f>
        <v>Moisturizer Gel Cream 40g</v>
      </c>
      <c r="G48" s="2">
        <v>2</v>
      </c>
      <c r="H48" s="2">
        <v>79500</v>
      </c>
      <c r="I48" s="4">
        <v>0.26</v>
      </c>
      <c r="J48" s="2">
        <v>58800</v>
      </c>
      <c r="K48" s="2">
        <f>J48*G48</f>
        <v>117600</v>
      </c>
      <c r="L48" s="2">
        <f>VLOOKUP(E48,'Master Inventory'!$B$2:$L$26,5,FALSE)</f>
        <v>28000</v>
      </c>
      <c r="M48" s="2">
        <f>L48*G48</f>
        <v>56000</v>
      </c>
      <c r="N48" s="2">
        <f>K48-M48</f>
        <v>61600</v>
      </c>
      <c r="O48" s="4">
        <f>IFERROR(N48/K48,0)</f>
        <v>0.52381</v>
      </c>
      <c r="P48" t="str" s="3">
        <f>IF(J48&lt;L48,"BELOW COGS","OK")</f>
        <v>OK</v>
      </c>
      <c r="Q48" s="4">
        <v>0.06</v>
      </c>
      <c r="R48" s="2">
        <f>K48*Q48</f>
        <v>7056</v>
      </c>
      <c r="S48" s="2">
        <f>K48-R48</f>
        <v>110544</v>
      </c>
      <c r="T48" s="2">
        <f>S48-M48</f>
        <v>54544</v>
      </c>
      <c r="U48" s="4">
        <f>IFERROR(T48/S48,0)</f>
        <v>0.493414</v>
      </c>
      <c r="V48" t="str" s="3">
        <f>IF(T48&lt;0,"RUGI SETELAH FEE","OK")</f>
        <v>OK</v>
      </c>
    </row>
    <row r="49">
      <c r="A49" s="8">
        <v>48</v>
      </c>
      <c r="B49" s="5">
        <v>46280</v>
      </c>
      <c r="C49" s="8" t="s">
        <v>191</v>
      </c>
      <c r="D49" s="3" t="s">
        <v>239</v>
      </c>
      <c r="E49" s="3" t="s">
        <v>63</v>
      </c>
      <c r="F49" t="str" s="3">
        <f>VLOOKUP(E49,'Master Inventory'!$B$2:$L$26,2,FALSE)</f>
        <v>Body Mist Fresh Bloom 100ml</v>
      </c>
      <c r="G49" s="2">
        <v>3</v>
      </c>
      <c r="H49" s="2">
        <v>58000</v>
      </c>
      <c r="I49" s="4">
        <v>0.69</v>
      </c>
      <c r="J49" s="2">
        <v>18000</v>
      </c>
      <c r="K49" s="2">
        <f>J49*G49</f>
        <v>54000</v>
      </c>
      <c r="L49" s="2">
        <f>VLOOKUP(E49,'Master Inventory'!$B$2:$L$26,5,FALSE)</f>
        <v>19000</v>
      </c>
      <c r="M49" s="2">
        <f>L49*G49</f>
        <v>57000</v>
      </c>
      <c r="N49" s="2">
        <f>K49-M49</f>
        <v>-3000</v>
      </c>
      <c r="O49" s="4">
        <f>IFERROR(N49/K49,0)</f>
        <v>-0.055556</v>
      </c>
      <c r="P49" t="str" s="3">
        <f>IF(J49&lt;L49,"BELOW COGS","OK")</f>
        <v>BELOW COGS</v>
      </c>
      <c r="Q49" s="4">
        <v>0.06</v>
      </c>
      <c r="R49" s="2">
        <f>K49*Q49</f>
        <v>3240</v>
      </c>
      <c r="S49" s="2">
        <f>K49-R49</f>
        <v>50760</v>
      </c>
      <c r="T49" s="2">
        <f>S49-M49</f>
        <v>-6240</v>
      </c>
      <c r="U49" s="4">
        <f>IFERROR(T49/S49,0)</f>
        <v>-0.122931</v>
      </c>
      <c r="V49" t="str" s="3">
        <f>IF(T49&lt;0,"RUGI SETELAH FEE","OK")</f>
        <v>RUGI SETELAH FEE</v>
      </c>
    </row>
    <row r="50">
      <c r="A50" s="8">
        <v>49</v>
      </c>
      <c r="B50" s="5">
        <v>46280</v>
      </c>
      <c r="C50" s="8" t="s">
        <v>191</v>
      </c>
      <c r="D50" s="3" t="s">
        <v>240</v>
      </c>
      <c r="E50" s="3" t="s">
        <v>32</v>
      </c>
      <c r="F50" t="str" s="3">
        <f>VLOOKUP(E50,'Master Inventory'!$B$2:$L$26,2,FALSE)</f>
        <v>Lip Tint Velvet Matte</v>
      </c>
      <c r="G50" s="2">
        <v>2</v>
      </c>
      <c r="H50" s="2">
        <v>43000</v>
      </c>
      <c r="I50" s="4">
        <v>0.26</v>
      </c>
      <c r="J50" s="2">
        <v>31800</v>
      </c>
      <c r="K50" s="2">
        <f>J50*G50</f>
        <v>63600</v>
      </c>
      <c r="L50" s="2">
        <f>VLOOKUP(E50,'Master Inventory'!$B$2:$L$26,5,FALSE)</f>
        <v>14000</v>
      </c>
      <c r="M50" s="2">
        <f>L50*G50</f>
        <v>28000</v>
      </c>
      <c r="N50" s="2">
        <f>K50-M50</f>
        <v>35600</v>
      </c>
      <c r="O50" s="4">
        <f>IFERROR(N50/K50,0)</f>
        <v>0.559748</v>
      </c>
      <c r="P50" t="str" s="3">
        <f>IF(J50&lt;L50,"BELOW COGS","OK")</f>
        <v>OK</v>
      </c>
      <c r="Q50" s="4">
        <v>0.06</v>
      </c>
      <c r="R50" s="2">
        <f>K50*Q50</f>
        <v>3816</v>
      </c>
      <c r="S50" s="2">
        <f>K50-R50</f>
        <v>59784</v>
      </c>
      <c r="T50" s="2">
        <f>S50-M50</f>
        <v>31784</v>
      </c>
      <c r="U50" s="4">
        <f>IFERROR(T50/S50,0)</f>
        <v>0.531647</v>
      </c>
      <c r="V50" t="str" s="3">
        <f>IF(T50&lt;0,"RUGI SETELAH FEE","OK")</f>
        <v>OK</v>
      </c>
    </row>
    <row r="51">
      <c r="A51" s="8">
        <v>50</v>
      </c>
      <c r="B51" s="5">
        <v>46280</v>
      </c>
      <c r="C51" s="8" t="s">
        <v>191</v>
      </c>
      <c r="D51" s="3" t="s">
        <v>241</v>
      </c>
      <c r="E51" s="3" t="s">
        <v>12</v>
      </c>
      <c r="F51" t="str" s="3">
        <f>VLOOKUP(E51,'Master Inventory'!$B$2:$L$26,2,FALSE)</f>
        <v>Facial Wash Gentle Foam 100ml</v>
      </c>
      <c r="G51" s="2">
        <v>6</v>
      </c>
      <c r="H51" s="2">
        <v>42000</v>
      </c>
      <c r="I51" s="4">
        <v>0.08</v>
      </c>
      <c r="J51" s="2">
        <v>38600</v>
      </c>
      <c r="K51" s="2">
        <f>J51*G51</f>
        <v>231600</v>
      </c>
      <c r="L51" s="2">
        <f>VLOOKUP(E51,'Master Inventory'!$B$2:$L$26,5,FALSE)</f>
        <v>16000</v>
      </c>
      <c r="M51" s="2">
        <f>L51*G51</f>
        <v>96000</v>
      </c>
      <c r="N51" s="2">
        <f>K51-M51</f>
        <v>135600</v>
      </c>
      <c r="O51" s="4">
        <f>IFERROR(N51/K51,0)</f>
        <v>0.585492</v>
      </c>
      <c r="P51" t="str" s="3">
        <f>IF(J51&lt;L51,"BELOW COGS","OK")</f>
        <v>OK</v>
      </c>
      <c r="Q51" s="4">
        <v>0.06</v>
      </c>
      <c r="R51" s="2">
        <f>K51*Q51</f>
        <v>13896</v>
      </c>
      <c r="S51" s="2">
        <f>K51-R51</f>
        <v>217704</v>
      </c>
      <c r="T51" s="2">
        <f>S51-M51</f>
        <v>121704</v>
      </c>
      <c r="U51" s="4">
        <f>IFERROR(T51/S51,0)</f>
        <v>0.559034</v>
      </c>
      <c r="V51" t="str" s="3">
        <f>IF(T51&lt;0,"RUGI SETELAH FEE","OK")</f>
        <v>OK</v>
      </c>
    </row>
    <row r="52">
      <c r="A52" s="8">
        <v>51</v>
      </c>
      <c r="B52" s="5">
        <v>46280</v>
      </c>
      <c r="C52" s="8" t="s">
        <v>191</v>
      </c>
      <c r="D52" s="3" t="s">
        <v>242</v>
      </c>
      <c r="E52" s="3" t="s">
        <v>39</v>
      </c>
      <c r="F52" t="str" s="3">
        <f>VLOOKUP(E52,'Master Inventory'!$B$2:$L$26,2,FALSE)</f>
        <v>Compact Powder Matte Finish</v>
      </c>
      <c r="G52" s="2">
        <v>5</v>
      </c>
      <c r="H52" s="2">
        <v>66000</v>
      </c>
      <c r="I52" s="4">
        <v>0.06</v>
      </c>
      <c r="J52" s="2">
        <v>62000</v>
      </c>
      <c r="K52" s="2">
        <f>J52*G52</f>
        <v>310000</v>
      </c>
      <c r="L52" s="2">
        <f>VLOOKUP(E52,'Master Inventory'!$B$2:$L$26,5,FALSE)</f>
        <v>25000</v>
      </c>
      <c r="M52" s="2">
        <f>L52*G52</f>
        <v>125000</v>
      </c>
      <c r="N52" s="2">
        <f>K52-M52</f>
        <v>185000</v>
      </c>
      <c r="O52" s="4">
        <f>IFERROR(N52/K52,0)</f>
        <v>0.596774</v>
      </c>
      <c r="P52" t="str" s="3">
        <f>IF(J52&lt;L52,"BELOW COGS","OK")</f>
        <v>OK</v>
      </c>
      <c r="Q52" s="4">
        <v>0.06</v>
      </c>
      <c r="R52" s="2">
        <f>K52*Q52</f>
        <v>18600</v>
      </c>
      <c r="S52" s="2">
        <f>K52-R52</f>
        <v>291400</v>
      </c>
      <c r="T52" s="2">
        <f>S52-M52</f>
        <v>166400</v>
      </c>
      <c r="U52" s="4">
        <f>IFERROR(T52/S52,0)</f>
        <v>0.571036</v>
      </c>
      <c r="V52" t="str" s="3">
        <f>IF(T52&lt;0,"RUGI SETELAH FEE","OK")</f>
        <v>OK</v>
      </c>
    </row>
    <row r="53">
      <c r="A53" s="8">
        <v>52</v>
      </c>
      <c r="B53" s="5">
        <v>46280</v>
      </c>
      <c r="C53" s="8" t="s">
        <v>191</v>
      </c>
      <c r="D53" s="3" t="s">
        <v>243</v>
      </c>
      <c r="E53" s="3" t="s">
        <v>35</v>
      </c>
      <c r="F53" t="str" s="3">
        <f>VLOOKUP(E53,'Master Inventory'!$B$2:$L$26,2,FALSE)</f>
        <v>Lip Cream Matte Long Lasting</v>
      </c>
      <c r="G53" s="2">
        <v>2</v>
      </c>
      <c r="H53" s="2">
        <v>46000</v>
      </c>
      <c r="I53" s="4">
        <v>0.01</v>
      </c>
      <c r="J53" s="2">
        <v>45500</v>
      </c>
      <c r="K53" s="2">
        <f>J53*G53</f>
        <v>91000</v>
      </c>
      <c r="L53" s="2">
        <f>VLOOKUP(E53,'Master Inventory'!$B$2:$L$26,5,FALSE)</f>
        <v>15000</v>
      </c>
      <c r="M53" s="2">
        <f>L53*G53</f>
        <v>30000</v>
      </c>
      <c r="N53" s="2">
        <f>K53-M53</f>
        <v>61000</v>
      </c>
      <c r="O53" s="4">
        <f>IFERROR(N53/K53,0)</f>
        <v>0.67033</v>
      </c>
      <c r="P53" t="str" s="3">
        <f>IF(J53&lt;L53,"BELOW COGS","OK")</f>
        <v>OK</v>
      </c>
      <c r="Q53" s="4">
        <v>0.06</v>
      </c>
      <c r="R53" s="2">
        <f>K53*Q53</f>
        <v>5460</v>
      </c>
      <c r="S53" s="2">
        <f>K53-R53</f>
        <v>85540</v>
      </c>
      <c r="T53" s="2">
        <f>S53-M53</f>
        <v>55540</v>
      </c>
      <c r="U53" s="4">
        <f>IFERROR(T53/S53,0)</f>
        <v>0.649287</v>
      </c>
      <c r="V53" t="str" s="3">
        <f>IF(T53&lt;0,"RUGI SETELAH FEE","OK")</f>
        <v>OK</v>
      </c>
    </row>
    <row r="54">
      <c r="A54" s="8">
        <v>53</v>
      </c>
      <c r="B54" s="5">
        <v>46281</v>
      </c>
      <c r="C54" s="8" t="s">
        <v>191</v>
      </c>
      <c r="D54" s="3" t="s">
        <v>244</v>
      </c>
      <c r="E54" s="3" t="s">
        <v>12</v>
      </c>
      <c r="F54" t="str" s="3">
        <f>VLOOKUP(E54,'Master Inventory'!$B$2:$L$26,2,FALSE)</f>
        <v>Facial Wash Gentle Foam 100ml</v>
      </c>
      <c r="G54" s="2">
        <v>3</v>
      </c>
      <c r="H54" s="2">
        <v>43000</v>
      </c>
      <c r="I54" s="4">
        <v>0.28</v>
      </c>
      <c r="J54" s="2">
        <v>31000</v>
      </c>
      <c r="K54" s="2">
        <f>J54*G54</f>
        <v>93000</v>
      </c>
      <c r="L54" s="2">
        <f>VLOOKUP(E54,'Master Inventory'!$B$2:$L$26,5,FALSE)</f>
        <v>16000</v>
      </c>
      <c r="M54" s="2">
        <f>L54*G54</f>
        <v>48000</v>
      </c>
      <c r="N54" s="2">
        <f>K54-M54</f>
        <v>45000</v>
      </c>
      <c r="O54" s="4">
        <f>IFERROR(N54/K54,0)</f>
        <v>0.483871</v>
      </c>
      <c r="P54" t="str" s="3">
        <f>IF(J54&lt;L54,"BELOW COGS","OK")</f>
        <v>OK</v>
      </c>
      <c r="Q54" s="4">
        <v>0.06</v>
      </c>
      <c r="R54" s="2">
        <f>K54*Q54</f>
        <v>5580</v>
      </c>
      <c r="S54" s="2">
        <f>K54-R54</f>
        <v>87420</v>
      </c>
      <c r="T54" s="2">
        <f>S54-M54</f>
        <v>39420</v>
      </c>
      <c r="U54" s="4">
        <f>IFERROR(T54/S54,0)</f>
        <v>0.450927</v>
      </c>
      <c r="V54" t="str" s="3">
        <f>IF(T54&lt;0,"RUGI SETELAH FEE","OK")</f>
        <v>OK</v>
      </c>
    </row>
    <row r="55">
      <c r="A55" s="8">
        <v>54</v>
      </c>
      <c r="B55" s="5">
        <v>46281</v>
      </c>
      <c r="C55" s="8" t="s">
        <v>191</v>
      </c>
      <c r="D55" s="3" t="s">
        <v>245</v>
      </c>
      <c r="E55" s="3" t="s">
        <v>52</v>
      </c>
      <c r="F55" t="str" s="3">
        <f>VLOOKUP(E55,'Master Inventory'!$B$2:$L$26,2,FALSE)</f>
        <v>Conditioner Repair 300ml</v>
      </c>
      <c r="G55" s="2">
        <v>2</v>
      </c>
      <c r="H55" s="2">
        <v>51000</v>
      </c>
      <c r="I55" s="4">
        <v>0.2</v>
      </c>
      <c r="J55" s="2">
        <v>40800</v>
      </c>
      <c r="K55" s="2">
        <f>J55*G55</f>
        <v>81600</v>
      </c>
      <c r="L55" s="2">
        <f>VLOOKUP(E55,'Master Inventory'!$B$2:$L$26,5,FALSE)</f>
        <v>18000</v>
      </c>
      <c r="M55" s="2">
        <f>L55*G55</f>
        <v>36000</v>
      </c>
      <c r="N55" s="2">
        <f>K55-M55</f>
        <v>45600</v>
      </c>
      <c r="O55" s="4">
        <f>IFERROR(N55/K55,0)</f>
        <v>0.558824</v>
      </c>
      <c r="P55" t="str" s="3">
        <f>IF(J55&lt;L55,"BELOW COGS","OK")</f>
        <v>OK</v>
      </c>
      <c r="Q55" s="4">
        <v>0.06</v>
      </c>
      <c r="R55" s="2">
        <f>K55*Q55</f>
        <v>4896</v>
      </c>
      <c r="S55" s="2">
        <f>K55-R55</f>
        <v>76704</v>
      </c>
      <c r="T55" s="2">
        <f>S55-M55</f>
        <v>40704</v>
      </c>
      <c r="U55" s="4">
        <f>IFERROR(T55/S55,0)</f>
        <v>0.530663</v>
      </c>
      <c r="V55" t="str" s="3">
        <f>IF(T55&lt;0,"RUGI SETELAH FEE","OK")</f>
        <v>OK</v>
      </c>
    </row>
    <row r="56">
      <c r="A56" s="8">
        <v>55</v>
      </c>
      <c r="B56" s="5">
        <v>46281</v>
      </c>
      <c r="C56" s="8" t="s">
        <v>191</v>
      </c>
      <c r="D56" s="3" t="s">
        <v>246</v>
      </c>
      <c r="E56" s="3" t="s">
        <v>45</v>
      </c>
      <c r="F56" t="str" s="3">
        <f>VLOOKUP(E56,'Master Inventory'!$B$2:$L$26,2,FALSE)</f>
        <v>Makeup Setting Spray 100ml</v>
      </c>
      <c r="G56" s="2">
        <v>3</v>
      </c>
      <c r="H56" s="2">
        <v>61000</v>
      </c>
      <c r="I56" s="4">
        <v>0.77</v>
      </c>
      <c r="J56" s="2">
        <v>14000</v>
      </c>
      <c r="K56" s="2">
        <f>J56*G56</f>
        <v>42000</v>
      </c>
      <c r="L56" s="2">
        <f>VLOOKUP(E56,'Master Inventory'!$B$2:$L$26,5,FALSE)</f>
        <v>22000</v>
      </c>
      <c r="M56" s="2">
        <f>L56*G56</f>
        <v>66000</v>
      </c>
      <c r="N56" s="2">
        <f>K56-M56</f>
        <v>-24000</v>
      </c>
      <c r="O56" s="4">
        <f>IFERROR(N56/K56,0)</f>
        <v>-0.571429</v>
      </c>
      <c r="P56" t="str" s="3">
        <f>IF(J56&lt;L56,"BELOW COGS","OK")</f>
        <v>BELOW COGS</v>
      </c>
      <c r="Q56" s="4">
        <v>0.06</v>
      </c>
      <c r="R56" s="2">
        <f>K56*Q56</f>
        <v>2520</v>
      </c>
      <c r="S56" s="2">
        <f>K56-R56</f>
        <v>39480</v>
      </c>
      <c r="T56" s="2">
        <f>S56-M56</f>
        <v>-26520</v>
      </c>
      <c r="U56" s="4">
        <f>IFERROR(T56/S56,0)</f>
        <v>-0.671733</v>
      </c>
      <c r="V56" t="str" s="3">
        <f>IF(T56&lt;0,"RUGI SETELAH FEE","OK")</f>
        <v>RUGI SETELAH FEE</v>
      </c>
    </row>
    <row r="57">
      <c r="A57" s="8">
        <v>56</v>
      </c>
      <c r="B57" s="5">
        <v>46281</v>
      </c>
      <c r="C57" s="8" t="s">
        <v>191</v>
      </c>
      <c r="D57" s="3" t="s">
        <v>247</v>
      </c>
      <c r="E57" s="3" t="s">
        <v>21</v>
      </c>
      <c r="F57" t="str" s="3">
        <f>VLOOKUP(E57,'Master Inventory'!$B$2:$L$26,2,FALSE)</f>
        <v>Serum Niacinamide 10% 20ml</v>
      </c>
      <c r="G57" s="2">
        <v>1</v>
      </c>
      <c r="H57" s="2">
        <v>87000</v>
      </c>
      <c r="I57" s="4">
        <v>0.69</v>
      </c>
      <c r="J57" s="2">
        <v>27000</v>
      </c>
      <c r="K57" s="2">
        <f>J57*G57</f>
        <v>27000</v>
      </c>
      <c r="L57" s="2">
        <f>VLOOKUP(E57,'Master Inventory'!$B$2:$L$26,5,FALSE)</f>
        <v>32000</v>
      </c>
      <c r="M57" s="2">
        <f>L57*G57</f>
        <v>32000</v>
      </c>
      <c r="N57" s="2">
        <f>K57-M57</f>
        <v>-5000</v>
      </c>
      <c r="O57" s="4">
        <f>IFERROR(N57/K57,0)</f>
        <v>-0.185185</v>
      </c>
      <c r="P57" t="str" s="3">
        <f>IF(J57&lt;L57,"BELOW COGS","OK")</f>
        <v>BELOW COGS</v>
      </c>
      <c r="Q57" s="4">
        <v>0.06</v>
      </c>
      <c r="R57" s="2">
        <f>K57*Q57</f>
        <v>1620</v>
      </c>
      <c r="S57" s="2">
        <f>K57-R57</f>
        <v>25380</v>
      </c>
      <c r="T57" s="2">
        <f>S57-M57</f>
        <v>-6620</v>
      </c>
      <c r="U57" s="4">
        <f>IFERROR(T57/S57,0)</f>
        <v>-0.260835</v>
      </c>
      <c r="V57" t="str" s="3">
        <f>IF(T57&lt;0,"RUGI SETELAH FEE","OK")</f>
        <v>RUGI SETELAH FEE</v>
      </c>
    </row>
    <row r="58">
      <c r="A58" s="8">
        <v>57</v>
      </c>
      <c r="B58" s="5">
        <v>46281</v>
      </c>
      <c r="C58" s="8" t="s">
        <v>191</v>
      </c>
      <c r="D58" s="3" t="s">
        <v>248</v>
      </c>
      <c r="E58" s="3" t="s">
        <v>23</v>
      </c>
      <c r="F58" t="str" s="3">
        <f>VLOOKUP(E58,'Master Inventory'!$B$2:$L$26,2,FALSE)</f>
        <v>Moisturizer Gel Cream 40g</v>
      </c>
      <c r="G58" s="2">
        <v>4</v>
      </c>
      <c r="H58" s="2">
        <v>79500</v>
      </c>
      <c r="I58" s="4">
        <v>0.68</v>
      </c>
      <c r="J58" s="2">
        <v>25400</v>
      </c>
      <c r="K58" s="2">
        <f>J58*G58</f>
        <v>101600</v>
      </c>
      <c r="L58" s="2">
        <f>VLOOKUP(E58,'Master Inventory'!$B$2:$L$26,5,FALSE)</f>
        <v>28000</v>
      </c>
      <c r="M58" s="2">
        <f>L58*G58</f>
        <v>112000</v>
      </c>
      <c r="N58" s="2">
        <f>K58-M58</f>
        <v>-10400</v>
      </c>
      <c r="O58" s="4">
        <f>IFERROR(N58/K58,0)</f>
        <v>-0.102362</v>
      </c>
      <c r="P58" t="str" s="3">
        <f>IF(J58&lt;L58,"BELOW COGS","OK")</f>
        <v>BELOW COGS</v>
      </c>
      <c r="Q58" s="4">
        <v>0.06</v>
      </c>
      <c r="R58" s="2">
        <f>K58*Q58</f>
        <v>6096</v>
      </c>
      <c r="S58" s="2">
        <f>K58-R58</f>
        <v>95504</v>
      </c>
      <c r="T58" s="2">
        <f>S58-M58</f>
        <v>-16496</v>
      </c>
      <c r="U58" s="4">
        <f>IFERROR(T58/S58,0)</f>
        <v>-0.172726</v>
      </c>
      <c r="V58" t="str" s="3">
        <f>IF(T58&lt;0,"RUGI SETELAH FEE","OK")</f>
        <v>RUGI SETELAH FEE</v>
      </c>
    </row>
    <row r="59">
      <c r="A59" s="8">
        <v>58</v>
      </c>
      <c r="B59" s="5">
        <v>46281</v>
      </c>
      <c r="C59" s="8" t="s">
        <v>191</v>
      </c>
      <c r="D59" s="3" t="s">
        <v>249</v>
      </c>
      <c r="E59" s="3" t="s">
        <v>54</v>
      </c>
      <c r="F59" t="str" s="3">
        <f>VLOOKUP(E59,'Master Inventory'!$B$2:$L$26,2,FALSE)</f>
        <v>Hair Mist Perfume 100ml</v>
      </c>
      <c r="G59" s="2">
        <v>2</v>
      </c>
      <c r="H59" s="2">
        <v>56000</v>
      </c>
      <c r="I59" s="4">
        <v>0.19</v>
      </c>
      <c r="J59" s="2">
        <v>45400</v>
      </c>
      <c r="K59" s="2">
        <f>J59*G59</f>
        <v>90800</v>
      </c>
      <c r="L59" s="2">
        <f>VLOOKUP(E59,'Master Inventory'!$B$2:$L$26,5,FALSE)</f>
        <v>20000</v>
      </c>
      <c r="M59" s="2">
        <f>L59*G59</f>
        <v>40000</v>
      </c>
      <c r="N59" s="2">
        <f>K59-M59</f>
        <v>50800</v>
      </c>
      <c r="O59" s="4">
        <f>IFERROR(N59/K59,0)</f>
        <v>0.559471</v>
      </c>
      <c r="P59" t="str" s="3">
        <f>IF(J59&lt;L59,"BELOW COGS","OK")</f>
        <v>OK</v>
      </c>
      <c r="Q59" s="4">
        <v>0.06</v>
      </c>
      <c r="R59" s="2">
        <f>K59*Q59</f>
        <v>5448</v>
      </c>
      <c r="S59" s="2">
        <f>K59-R59</f>
        <v>85352</v>
      </c>
      <c r="T59" s="2">
        <f>S59-M59</f>
        <v>45352</v>
      </c>
      <c r="U59" s="4">
        <f>IFERROR(T59/S59,0)</f>
        <v>0.531353</v>
      </c>
      <c r="V59" t="str" s="3">
        <f>IF(T59&lt;0,"RUGI SETELAH FEE","OK")</f>
        <v>OK</v>
      </c>
    </row>
    <row r="60">
      <c r="A60" s="8">
        <v>59</v>
      </c>
      <c r="B60" s="5">
        <v>46282</v>
      </c>
      <c r="C60" s="8" t="s">
        <v>191</v>
      </c>
      <c r="D60" s="3" t="s">
        <v>250</v>
      </c>
      <c r="E60" s="3" t="s">
        <v>32</v>
      </c>
      <c r="F60" t="str" s="3">
        <f>VLOOKUP(E60,'Master Inventory'!$B$2:$L$26,2,FALSE)</f>
        <v>Lip Tint Velvet Matte</v>
      </c>
      <c r="G60" s="2">
        <v>2</v>
      </c>
      <c r="H60" s="2">
        <v>37000</v>
      </c>
      <c r="I60" s="4">
        <v>0.04</v>
      </c>
      <c r="J60" s="2">
        <v>35500</v>
      </c>
      <c r="K60" s="2">
        <f>J60*G60</f>
        <v>71000</v>
      </c>
      <c r="L60" s="2">
        <f>VLOOKUP(E60,'Master Inventory'!$B$2:$L$26,5,FALSE)</f>
        <v>14000</v>
      </c>
      <c r="M60" s="2">
        <f>L60*G60</f>
        <v>28000</v>
      </c>
      <c r="N60" s="2">
        <f>K60-M60</f>
        <v>43000</v>
      </c>
      <c r="O60" s="4">
        <f>IFERROR(N60/K60,0)</f>
        <v>0.605634</v>
      </c>
      <c r="P60" t="str" s="3">
        <f>IF(J60&lt;L60,"BELOW COGS","OK")</f>
        <v>OK</v>
      </c>
      <c r="Q60" s="4">
        <v>0.06</v>
      </c>
      <c r="R60" s="2">
        <f>K60*Q60</f>
        <v>4260</v>
      </c>
      <c r="S60" s="2">
        <f>K60-R60</f>
        <v>66740</v>
      </c>
      <c r="T60" s="2">
        <f>S60-M60</f>
        <v>38740</v>
      </c>
      <c r="U60" s="4">
        <f>IFERROR(T60/S60,0)</f>
        <v>0.580461</v>
      </c>
      <c r="V60" t="str" s="3">
        <f>IF(T60&lt;0,"RUGI SETELAH FEE","OK")</f>
        <v>OK</v>
      </c>
    </row>
    <row r="61">
      <c r="A61" s="8">
        <v>60</v>
      </c>
      <c r="B61" s="5">
        <v>46283</v>
      </c>
      <c r="C61" s="8" t="s">
        <v>191</v>
      </c>
      <c r="D61" s="3" t="s">
        <v>251</v>
      </c>
      <c r="E61" s="3" t="s">
        <v>17</v>
      </c>
      <c r="F61" t="str" s="3">
        <f>VLOOKUP(E61,'Master Inventory'!$B$2:$L$26,2,FALSE)</f>
        <v>Toner Hydrating Rose 150ml</v>
      </c>
      <c r="G61" s="2">
        <v>3</v>
      </c>
      <c r="H61" s="2">
        <v>55500</v>
      </c>
      <c r="I61" s="4">
        <v>0.77</v>
      </c>
      <c r="J61" s="2">
        <v>12800</v>
      </c>
      <c r="K61" s="2">
        <f>J61*G61</f>
        <v>38400</v>
      </c>
      <c r="L61" s="2">
        <f>VLOOKUP(E61,'Master Inventory'!$B$2:$L$26,5,FALSE)</f>
        <v>22000</v>
      </c>
      <c r="M61" s="2">
        <f>L61*G61</f>
        <v>66000</v>
      </c>
      <c r="N61" s="2">
        <f>K61-M61</f>
        <v>-27600</v>
      </c>
      <c r="O61" s="4">
        <f>IFERROR(N61/K61,0)</f>
        <v>-0.71875</v>
      </c>
      <c r="P61" t="str" s="3">
        <f>IF(J61&lt;L61,"BELOW COGS","OK")</f>
        <v>BELOW COGS</v>
      </c>
      <c r="Q61" s="4">
        <v>0.06</v>
      </c>
      <c r="R61" s="2">
        <f>K61*Q61</f>
        <v>2304</v>
      </c>
      <c r="S61" s="2">
        <f>K61-R61</f>
        <v>36096</v>
      </c>
      <c r="T61" s="2">
        <f>S61-M61</f>
        <v>-29904</v>
      </c>
      <c r="U61" s="4">
        <f>IFERROR(T61/S61,0)</f>
        <v>-0.828457</v>
      </c>
      <c r="V61" t="str" s="3">
        <f>IF(T61&lt;0,"RUGI SETELAH FEE","OK")</f>
        <v>RUGI SETELAH FEE</v>
      </c>
    </row>
    <row r="62">
      <c r="A62" s="8">
        <v>61</v>
      </c>
      <c r="B62" s="5">
        <v>46283</v>
      </c>
      <c r="C62" s="8" t="s">
        <v>191</v>
      </c>
      <c r="D62" s="3" t="s">
        <v>252</v>
      </c>
      <c r="E62" s="3" t="s">
        <v>12</v>
      </c>
      <c r="F62" t="str" s="3">
        <f>VLOOKUP(E62,'Master Inventory'!$B$2:$L$26,2,FALSE)</f>
        <v>Facial Wash Gentle Foam 100ml</v>
      </c>
      <c r="G62" s="2">
        <v>5</v>
      </c>
      <c r="H62" s="2">
        <v>49000</v>
      </c>
      <c r="I62" s="4">
        <v>0.72</v>
      </c>
      <c r="J62" s="2">
        <v>13700</v>
      </c>
      <c r="K62" s="2">
        <f>J62*G62</f>
        <v>68500</v>
      </c>
      <c r="L62" s="2">
        <f>VLOOKUP(E62,'Master Inventory'!$B$2:$L$26,5,FALSE)</f>
        <v>16000</v>
      </c>
      <c r="M62" s="2">
        <f>L62*G62</f>
        <v>80000</v>
      </c>
      <c r="N62" s="2">
        <f>K62-M62</f>
        <v>-11500</v>
      </c>
      <c r="O62" s="4">
        <f>IFERROR(N62/K62,0)</f>
        <v>-0.167883</v>
      </c>
      <c r="P62" t="str" s="3">
        <f>IF(J62&lt;L62,"BELOW COGS","OK")</f>
        <v>BELOW COGS</v>
      </c>
      <c r="Q62" s="4">
        <v>0.06</v>
      </c>
      <c r="R62" s="2">
        <f>K62*Q62</f>
        <v>4110</v>
      </c>
      <c r="S62" s="2">
        <f>K62-R62</f>
        <v>64390</v>
      </c>
      <c r="T62" s="2">
        <f>S62-M62</f>
        <v>-15610</v>
      </c>
      <c r="U62" s="4">
        <f>IFERROR(T62/S62,0)</f>
        <v>-0.242429</v>
      </c>
      <c r="V62" t="str" s="3">
        <f>IF(T62&lt;0,"RUGI SETELAH FEE","OK")</f>
        <v>RUGI SETELAH FEE</v>
      </c>
    </row>
    <row r="63">
      <c r="A63" s="8">
        <v>62</v>
      </c>
      <c r="B63" s="5">
        <v>46283</v>
      </c>
      <c r="C63" s="8" t="s">
        <v>191</v>
      </c>
      <c r="D63" s="3" t="s">
        <v>253</v>
      </c>
      <c r="E63" s="3" t="s">
        <v>47</v>
      </c>
      <c r="F63" t="str" s="3">
        <f>VLOOKUP(E63,'Master Inventory'!$B$2:$L$26,2,FALSE)</f>
        <v>Hair Serum Anti Frizz 60ml</v>
      </c>
      <c r="G63" s="2">
        <v>4</v>
      </c>
      <c r="H63" s="2">
        <v>63000</v>
      </c>
      <c r="I63" s="4">
        <v>0.65</v>
      </c>
      <c r="J63" s="2">
        <v>22000</v>
      </c>
      <c r="K63" s="2">
        <f>J63*G63</f>
        <v>88000</v>
      </c>
      <c r="L63" s="2">
        <f>VLOOKUP(E63,'Master Inventory'!$B$2:$L$26,5,FALSE)</f>
        <v>24000</v>
      </c>
      <c r="M63" s="2">
        <f>L63*G63</f>
        <v>96000</v>
      </c>
      <c r="N63" s="2">
        <f>K63-M63</f>
        <v>-8000</v>
      </c>
      <c r="O63" s="4">
        <f>IFERROR(N63/K63,0)</f>
        <v>-0.090909</v>
      </c>
      <c r="P63" t="str" s="3">
        <f>IF(J63&lt;L63,"BELOW COGS","OK")</f>
        <v>BELOW COGS</v>
      </c>
      <c r="Q63" s="4">
        <v>0.06</v>
      </c>
      <c r="R63" s="2">
        <f>K63*Q63</f>
        <v>5280</v>
      </c>
      <c r="S63" s="2">
        <f>K63-R63</f>
        <v>82720</v>
      </c>
      <c r="T63" s="2">
        <f>S63-M63</f>
        <v>-13280</v>
      </c>
      <c r="U63" s="4">
        <f>IFERROR(T63/S63,0)</f>
        <v>-0.160542</v>
      </c>
      <c r="V63" t="str" s="3">
        <f>IF(T63&lt;0,"RUGI SETELAH FEE","OK")</f>
        <v>RUGI SETELAH FEE</v>
      </c>
    </row>
    <row r="64">
      <c r="A64" s="8">
        <v>63</v>
      </c>
      <c r="B64" s="5">
        <v>46283</v>
      </c>
      <c r="C64" s="8" t="s">
        <v>191</v>
      </c>
      <c r="D64" s="3" t="s">
        <v>254</v>
      </c>
      <c r="E64" s="3" t="s">
        <v>41</v>
      </c>
      <c r="F64" t="str" s="3">
        <f>VLOOKUP(E64,'Master Inventory'!$B$2:$L$26,2,FALSE)</f>
        <v>Eyebrow Pencil Waterproof</v>
      </c>
      <c r="G64" s="2">
        <v>4</v>
      </c>
      <c r="H64" s="2">
        <v>38000</v>
      </c>
      <c r="I64" s="4">
        <v>0.08</v>
      </c>
      <c r="J64" s="2">
        <v>35000</v>
      </c>
      <c r="K64" s="2">
        <f>J64*G64</f>
        <v>140000</v>
      </c>
      <c r="L64" s="2">
        <f>VLOOKUP(E64,'Master Inventory'!$B$2:$L$26,5,FALSE)</f>
        <v>10000</v>
      </c>
      <c r="M64" s="2">
        <f>L64*G64</f>
        <v>40000</v>
      </c>
      <c r="N64" s="2">
        <f>K64-M64</f>
        <v>100000</v>
      </c>
      <c r="O64" s="4">
        <f>IFERROR(N64/K64,0)</f>
        <v>0.714286</v>
      </c>
      <c r="P64" t="str" s="3">
        <f>IF(J64&lt;L64,"BELOW COGS","OK")</f>
        <v>OK</v>
      </c>
      <c r="Q64" s="4">
        <v>0.06</v>
      </c>
      <c r="R64" s="2">
        <f>K64*Q64</f>
        <v>8400</v>
      </c>
      <c r="S64" s="2">
        <f>K64-R64</f>
        <v>131600</v>
      </c>
      <c r="T64" s="2">
        <f>S64-M64</f>
        <v>91600</v>
      </c>
      <c r="U64" s="4">
        <f>IFERROR(T64/S64,0)</f>
        <v>0.696049</v>
      </c>
      <c r="V64" t="str" s="3">
        <f>IF(T64&lt;0,"RUGI SETELAH FEE","OK")</f>
        <v>OK</v>
      </c>
    </row>
    <row r="65">
      <c r="A65" s="8">
        <v>64</v>
      </c>
      <c r="B65" s="5">
        <v>46284</v>
      </c>
      <c r="C65" s="8" t="s">
        <v>191</v>
      </c>
      <c r="D65" s="3" t="s">
        <v>255</v>
      </c>
      <c r="E65" s="3" t="s">
        <v>12</v>
      </c>
      <c r="F65" t="str" s="3">
        <f>VLOOKUP(E65,'Master Inventory'!$B$2:$L$26,2,FALSE)</f>
        <v>Facial Wash Gentle Foam 100ml</v>
      </c>
      <c r="G65" s="2">
        <v>3</v>
      </c>
      <c r="H65" s="2">
        <v>45500</v>
      </c>
      <c r="I65" s="4">
        <v>0.03</v>
      </c>
      <c r="J65" s="2">
        <v>44100</v>
      </c>
      <c r="K65" s="2">
        <f>J65*G65</f>
        <v>132300</v>
      </c>
      <c r="L65" s="2">
        <f>VLOOKUP(E65,'Master Inventory'!$B$2:$L$26,5,FALSE)</f>
        <v>16000</v>
      </c>
      <c r="M65" s="2">
        <f>L65*G65</f>
        <v>48000</v>
      </c>
      <c r="N65" s="2">
        <f>K65-M65</f>
        <v>84300</v>
      </c>
      <c r="O65" s="4">
        <f>IFERROR(N65/K65,0)</f>
        <v>0.637188</v>
      </c>
      <c r="P65" t="str" s="3">
        <f>IF(J65&lt;L65,"BELOW COGS","OK")</f>
        <v>OK</v>
      </c>
      <c r="Q65" s="4">
        <v>0.06</v>
      </c>
      <c r="R65" s="2">
        <f>K65*Q65</f>
        <v>7938</v>
      </c>
      <c r="S65" s="2">
        <f>K65-R65</f>
        <v>124362</v>
      </c>
      <c r="T65" s="2">
        <f>S65-M65</f>
        <v>76362</v>
      </c>
      <c r="U65" s="4">
        <f>IFERROR(T65/S65,0)</f>
        <v>0.61403</v>
      </c>
      <c r="V65" t="str" s="3">
        <f>IF(T65&lt;0,"RUGI SETELAH FEE","OK")</f>
        <v>OK</v>
      </c>
    </row>
    <row r="66">
      <c r="A66" s="8">
        <v>65</v>
      </c>
      <c r="B66" s="5">
        <v>46284</v>
      </c>
      <c r="C66" s="8" t="s">
        <v>191</v>
      </c>
      <c r="D66" s="3" t="s">
        <v>256</v>
      </c>
      <c r="E66" s="3" t="s">
        <v>17</v>
      </c>
      <c r="F66" t="str" s="3">
        <f>VLOOKUP(E66,'Master Inventory'!$B$2:$L$26,2,FALSE)</f>
        <v>Toner Hydrating Rose 150ml</v>
      </c>
      <c r="G66" s="2">
        <v>3</v>
      </c>
      <c r="H66" s="2">
        <v>59500</v>
      </c>
      <c r="I66" s="4">
        <v>0.11</v>
      </c>
      <c r="J66" s="2">
        <v>53000</v>
      </c>
      <c r="K66" s="2">
        <f>J66*G66</f>
        <v>159000</v>
      </c>
      <c r="L66" s="2">
        <f>VLOOKUP(E66,'Master Inventory'!$B$2:$L$26,5,FALSE)</f>
        <v>22000</v>
      </c>
      <c r="M66" s="2">
        <f>L66*G66</f>
        <v>66000</v>
      </c>
      <c r="N66" s="2">
        <f>K66-M66</f>
        <v>93000</v>
      </c>
      <c r="O66" s="4">
        <f>IFERROR(N66/K66,0)</f>
        <v>0.584906</v>
      </c>
      <c r="P66" t="str" s="3">
        <f>IF(J66&lt;L66,"BELOW COGS","OK")</f>
        <v>OK</v>
      </c>
      <c r="Q66" s="4">
        <v>0.06</v>
      </c>
      <c r="R66" s="2">
        <f>K66*Q66</f>
        <v>9540</v>
      </c>
      <c r="S66" s="2">
        <f>K66-R66</f>
        <v>149460</v>
      </c>
      <c r="T66" s="2">
        <f>S66-M66</f>
        <v>83460</v>
      </c>
      <c r="U66" s="4">
        <f>IFERROR(T66/S66,0)</f>
        <v>0.55841</v>
      </c>
      <c r="V66" t="str" s="3">
        <f>IF(T66&lt;0,"RUGI SETELAH FEE","OK")</f>
        <v>OK</v>
      </c>
    </row>
    <row r="67">
      <c r="A67" s="8">
        <v>66</v>
      </c>
      <c r="B67" s="5">
        <v>46284</v>
      </c>
      <c r="C67" s="8" t="s">
        <v>191</v>
      </c>
      <c r="D67" s="3" t="s">
        <v>257</v>
      </c>
      <c r="E67" s="3" t="s">
        <v>68</v>
      </c>
      <c r="F67" t="str" s="3">
        <f>VLOOKUP(E67,'Master Inventory'!$B$2:$L$26,2,FALSE)</f>
        <v>Eau de Parfum 50ml</v>
      </c>
      <c r="G67" s="2">
        <v>5</v>
      </c>
      <c r="H67" s="2">
        <v>264000</v>
      </c>
      <c r="I67" s="4">
        <v>0.07</v>
      </c>
      <c r="J67" s="2">
        <v>245500</v>
      </c>
      <c r="K67" s="2">
        <f>J67*G67</f>
        <v>1227500</v>
      </c>
      <c r="L67" s="2">
        <f>VLOOKUP(E67,'Master Inventory'!$B$2:$L$26,5,FALSE)</f>
        <v>85000</v>
      </c>
      <c r="M67" s="2">
        <f>L67*G67</f>
        <v>425000</v>
      </c>
      <c r="N67" s="2">
        <f>K67-M67</f>
        <v>802500</v>
      </c>
      <c r="O67" s="4">
        <f>IFERROR(N67/K67,0)</f>
        <v>0.653768</v>
      </c>
      <c r="P67" t="str" s="3">
        <f>IF(J67&lt;L67,"BELOW COGS","OK")</f>
        <v>OK</v>
      </c>
      <c r="Q67" s="4">
        <v>0.06</v>
      </c>
      <c r="R67" s="2">
        <f>K67*Q67</f>
        <v>73650</v>
      </c>
      <c r="S67" s="2">
        <f>K67-R67</f>
        <v>1153850</v>
      </c>
      <c r="T67" s="2">
        <f>S67-M67</f>
        <v>728850</v>
      </c>
      <c r="U67" s="4">
        <f>IFERROR(T67/S67,0)</f>
        <v>0.631668</v>
      </c>
      <c r="V67" t="str" s="3">
        <f>IF(T67&lt;0,"RUGI SETELAH FEE","OK")</f>
        <v>OK</v>
      </c>
    </row>
    <row r="68">
      <c r="A68" s="8">
        <v>67</v>
      </c>
      <c r="B68" s="5">
        <v>46284</v>
      </c>
      <c r="C68" s="8" t="s">
        <v>191</v>
      </c>
      <c r="D68" s="3" t="s">
        <v>258</v>
      </c>
      <c r="E68" s="3" t="s">
        <v>43</v>
      </c>
      <c r="F68" t="str" s="3">
        <f>VLOOKUP(E68,'Master Inventory'!$B$2:$L$26,2,FALSE)</f>
        <v>Mascara Volume &amp; Curl</v>
      </c>
      <c r="G68" s="2">
        <v>3</v>
      </c>
      <c r="H68" s="2">
        <v>60000</v>
      </c>
      <c r="I68" s="4">
        <v>0.77</v>
      </c>
      <c r="J68" s="2">
        <v>13800</v>
      </c>
      <c r="K68" s="2">
        <f>J68*G68</f>
        <v>41400</v>
      </c>
      <c r="L68" s="2">
        <f>VLOOKUP(E68,'Master Inventory'!$B$2:$L$26,5,FALSE)</f>
        <v>18000</v>
      </c>
      <c r="M68" s="2">
        <f>L68*G68</f>
        <v>54000</v>
      </c>
      <c r="N68" s="2">
        <f>K68-M68</f>
        <v>-12600</v>
      </c>
      <c r="O68" s="4">
        <f>IFERROR(N68/K68,0)</f>
        <v>-0.304348</v>
      </c>
      <c r="P68" t="str" s="3">
        <f>IF(J68&lt;L68,"BELOW COGS","OK")</f>
        <v>BELOW COGS</v>
      </c>
      <c r="Q68" s="4">
        <v>0.06</v>
      </c>
      <c r="R68" s="2">
        <f>K68*Q68</f>
        <v>2484</v>
      </c>
      <c r="S68" s="2">
        <f>K68-R68</f>
        <v>38916</v>
      </c>
      <c r="T68" s="2">
        <f>S68-M68</f>
        <v>-15084</v>
      </c>
      <c r="U68" s="4">
        <f>IFERROR(T68/S68,0)</f>
        <v>-0.387604</v>
      </c>
      <c r="V68" t="str" s="3">
        <f>IF(T68&lt;0,"RUGI SETELAH FEE","OK")</f>
        <v>RUGI SETELAH FEE</v>
      </c>
    </row>
    <row r="69">
      <c r="A69" s="8">
        <v>68</v>
      </c>
      <c r="B69" s="5">
        <v>46284</v>
      </c>
      <c r="C69" s="8" t="s">
        <v>191</v>
      </c>
      <c r="D69" s="3" t="s">
        <v>259</v>
      </c>
      <c r="E69" s="3" t="s">
        <v>37</v>
      </c>
      <c r="F69" t="str" s="3">
        <f>VLOOKUP(E69,'Master Inventory'!$B$2:$L$26,2,FALSE)</f>
        <v>Cushion Foundation SPF35</v>
      </c>
      <c r="G69" s="2">
        <v>1</v>
      </c>
      <c r="H69" s="2">
        <v>145000</v>
      </c>
      <c r="I69" s="4">
        <v>0.21</v>
      </c>
      <c r="J69" s="2">
        <v>114600</v>
      </c>
      <c r="K69" s="2">
        <f>J69*G69</f>
        <v>114600</v>
      </c>
      <c r="L69" s="2">
        <f>VLOOKUP(E69,'Master Inventory'!$B$2:$L$26,5,FALSE)</f>
        <v>45000</v>
      </c>
      <c r="M69" s="2">
        <f>L69*G69</f>
        <v>45000</v>
      </c>
      <c r="N69" s="2">
        <f>K69-M69</f>
        <v>69600</v>
      </c>
      <c r="O69" s="4">
        <f>IFERROR(N69/K69,0)</f>
        <v>0.60733</v>
      </c>
      <c r="P69" t="str" s="3">
        <f>IF(J69&lt;L69,"BELOW COGS","OK")</f>
        <v>OK</v>
      </c>
      <c r="Q69" s="4">
        <v>0.06</v>
      </c>
      <c r="R69" s="2">
        <f>K69*Q69</f>
        <v>6876</v>
      </c>
      <c r="S69" s="2">
        <f>K69-R69</f>
        <v>107724</v>
      </c>
      <c r="T69" s="2">
        <f>S69-M69</f>
        <v>62724</v>
      </c>
      <c r="U69" s="4">
        <f>IFERROR(T69/S69,0)</f>
        <v>0.582266</v>
      </c>
      <c r="V69" t="str" s="3">
        <f>IF(T69&lt;0,"RUGI SETELAH FEE","OK")</f>
        <v>OK</v>
      </c>
    </row>
    <row r="70">
      <c r="A70" s="8">
        <v>69</v>
      </c>
      <c r="B70" s="5">
        <v>46285</v>
      </c>
      <c r="C70" s="8" t="s">
        <v>191</v>
      </c>
      <c r="D70" s="3" t="s">
        <v>260</v>
      </c>
      <c r="E70" s="3" t="s">
        <v>52</v>
      </c>
      <c r="F70" t="str" s="3">
        <f>VLOOKUP(E70,'Master Inventory'!$B$2:$L$26,2,FALSE)</f>
        <v>Conditioner Repair 300ml</v>
      </c>
      <c r="G70" s="2">
        <v>1</v>
      </c>
      <c r="H70" s="2">
        <v>53000</v>
      </c>
      <c r="I70" s="4">
        <v>0.23</v>
      </c>
      <c r="J70" s="2">
        <v>40800</v>
      </c>
      <c r="K70" s="2">
        <f>J70*G70</f>
        <v>40800</v>
      </c>
      <c r="L70" s="2">
        <f>VLOOKUP(E70,'Master Inventory'!$B$2:$L$26,5,FALSE)</f>
        <v>18000</v>
      </c>
      <c r="M70" s="2">
        <f>L70*G70</f>
        <v>18000</v>
      </c>
      <c r="N70" s="2">
        <f>K70-M70</f>
        <v>22800</v>
      </c>
      <c r="O70" s="4">
        <f>IFERROR(N70/K70,0)</f>
        <v>0.558824</v>
      </c>
      <c r="P70" t="str" s="3">
        <f>IF(J70&lt;L70,"BELOW COGS","OK")</f>
        <v>OK</v>
      </c>
      <c r="Q70" s="4">
        <v>0.06</v>
      </c>
      <c r="R70" s="2">
        <f>K70*Q70</f>
        <v>2448</v>
      </c>
      <c r="S70" s="2">
        <f>K70-R70</f>
        <v>38352</v>
      </c>
      <c r="T70" s="2">
        <f>S70-M70</f>
        <v>20352</v>
      </c>
      <c r="U70" s="4">
        <f>IFERROR(T70/S70,0)</f>
        <v>0.530663</v>
      </c>
      <c r="V70" t="str" s="3">
        <f>IF(T70&lt;0,"RUGI SETELAH FEE","OK")</f>
        <v>OK</v>
      </c>
    </row>
    <row r="71">
      <c r="A71" s="8">
        <v>70</v>
      </c>
      <c r="B71" s="5">
        <v>46285</v>
      </c>
      <c r="C71" s="8" t="s">
        <v>191</v>
      </c>
      <c r="D71" s="3" t="s">
        <v>261</v>
      </c>
      <c r="E71" s="3" t="s">
        <v>47</v>
      </c>
      <c r="F71" t="str" s="3">
        <f>VLOOKUP(E71,'Master Inventory'!$B$2:$L$26,2,FALSE)</f>
        <v>Hair Serum Anti Frizz 60ml</v>
      </c>
      <c r="G71" s="2">
        <v>3</v>
      </c>
      <c r="H71" s="2">
        <v>62500</v>
      </c>
      <c r="I71" s="4">
        <v>0.62</v>
      </c>
      <c r="J71" s="2">
        <v>23800</v>
      </c>
      <c r="K71" s="2">
        <f>J71*G71</f>
        <v>71400</v>
      </c>
      <c r="L71" s="2">
        <f>VLOOKUP(E71,'Master Inventory'!$B$2:$L$26,5,FALSE)</f>
        <v>24000</v>
      </c>
      <c r="M71" s="2">
        <f>L71*G71</f>
        <v>72000</v>
      </c>
      <c r="N71" s="2">
        <f>K71-M71</f>
        <v>-600</v>
      </c>
      <c r="O71" s="4">
        <f>IFERROR(N71/K71,0)</f>
        <v>-0.008403</v>
      </c>
      <c r="P71" t="str" s="3">
        <f>IF(J71&lt;L71,"BELOW COGS","OK")</f>
        <v>BELOW COGS</v>
      </c>
      <c r="Q71" s="4">
        <v>0.06</v>
      </c>
      <c r="R71" s="2">
        <f>K71*Q71</f>
        <v>4284</v>
      </c>
      <c r="S71" s="2">
        <f>K71-R71</f>
        <v>67116</v>
      </c>
      <c r="T71" s="2">
        <f>S71-M71</f>
        <v>-4884</v>
      </c>
      <c r="U71" s="4">
        <f>IFERROR(T71/S71,0)</f>
        <v>-0.07277</v>
      </c>
      <c r="V71" t="str" s="3">
        <f>IF(T71&lt;0,"RUGI SETELAH FEE","OK")</f>
        <v>RUGI SETELAH FEE</v>
      </c>
    </row>
    <row r="72">
      <c r="A72" s="8">
        <v>71</v>
      </c>
      <c r="B72" s="5">
        <v>46286</v>
      </c>
      <c r="C72" s="8" t="s">
        <v>191</v>
      </c>
      <c r="D72" s="3" t="s">
        <v>262</v>
      </c>
      <c r="E72" s="3" t="s">
        <v>37</v>
      </c>
      <c r="F72" t="str" s="3">
        <f>VLOOKUP(E72,'Master Inventory'!$B$2:$L$26,2,FALSE)</f>
        <v>Cushion Foundation SPF35</v>
      </c>
      <c r="G72" s="2">
        <v>1</v>
      </c>
      <c r="H72" s="2">
        <v>144500</v>
      </c>
      <c r="I72" s="4">
        <v>0.01</v>
      </c>
      <c r="J72" s="2">
        <v>143100</v>
      </c>
      <c r="K72" s="2">
        <f>J72*G72</f>
        <v>143100</v>
      </c>
      <c r="L72" s="2">
        <f>VLOOKUP(E72,'Master Inventory'!$B$2:$L$26,5,FALSE)</f>
        <v>45000</v>
      </c>
      <c r="M72" s="2">
        <f>L72*G72</f>
        <v>45000</v>
      </c>
      <c r="N72" s="2">
        <f>K72-M72</f>
        <v>98100</v>
      </c>
      <c r="O72" s="4">
        <f>IFERROR(N72/K72,0)</f>
        <v>0.685535</v>
      </c>
      <c r="P72" t="str" s="3">
        <f>IF(J72&lt;L72,"BELOW COGS","OK")</f>
        <v>OK</v>
      </c>
      <c r="Q72" s="4">
        <v>0.06</v>
      </c>
      <c r="R72" s="2">
        <f>K72*Q72</f>
        <v>8586</v>
      </c>
      <c r="S72" s="2">
        <f>K72-R72</f>
        <v>134514</v>
      </c>
      <c r="T72" s="2">
        <f>S72-M72</f>
        <v>89514</v>
      </c>
      <c r="U72" s="4">
        <f>IFERROR(T72/S72,0)</f>
        <v>0.665462</v>
      </c>
      <c r="V72" t="str" s="3">
        <f>IF(T72&lt;0,"RUGI SETELAH FEE","OK")</f>
        <v>OK</v>
      </c>
    </row>
    <row r="73">
      <c r="A73" s="8">
        <v>72</v>
      </c>
      <c r="B73" s="5">
        <v>46286</v>
      </c>
      <c r="C73" s="8" t="s">
        <v>191</v>
      </c>
      <c r="D73" s="3" t="s">
        <v>263</v>
      </c>
      <c r="E73" s="3" t="s">
        <v>32</v>
      </c>
      <c r="F73" t="str" s="3">
        <f>VLOOKUP(E73,'Master Inventory'!$B$2:$L$26,2,FALSE)</f>
        <v>Lip Tint Velvet Matte</v>
      </c>
      <c r="G73" s="2">
        <v>5</v>
      </c>
      <c r="H73" s="2">
        <v>41500</v>
      </c>
      <c r="I73" s="4">
        <v>0.2</v>
      </c>
      <c r="J73" s="2">
        <v>33200</v>
      </c>
      <c r="K73" s="2">
        <f>J73*G73</f>
        <v>166000</v>
      </c>
      <c r="L73" s="2">
        <f>VLOOKUP(E73,'Master Inventory'!$B$2:$L$26,5,FALSE)</f>
        <v>14000</v>
      </c>
      <c r="M73" s="2">
        <f>L73*G73</f>
        <v>70000</v>
      </c>
      <c r="N73" s="2">
        <f>K73-M73</f>
        <v>96000</v>
      </c>
      <c r="O73" s="4">
        <f>IFERROR(N73/K73,0)</f>
        <v>0.578313</v>
      </c>
      <c r="P73" t="str" s="3">
        <f>IF(J73&lt;L73,"BELOW COGS","OK")</f>
        <v>OK</v>
      </c>
      <c r="Q73" s="4">
        <v>0.06</v>
      </c>
      <c r="R73" s="2">
        <f>K73*Q73</f>
        <v>9960</v>
      </c>
      <c r="S73" s="2">
        <f>K73-R73</f>
        <v>156040</v>
      </c>
      <c r="T73" s="2">
        <f>S73-M73</f>
        <v>86040</v>
      </c>
      <c r="U73" s="4">
        <f>IFERROR(T73/S73,0)</f>
        <v>0.551397</v>
      </c>
      <c r="V73" t="str" s="3">
        <f>IF(T73&lt;0,"RUGI SETELAH FEE","OK")</f>
        <v>OK</v>
      </c>
    </row>
    <row r="74">
      <c r="A74" s="8">
        <v>73</v>
      </c>
      <c r="B74" s="5">
        <v>46286</v>
      </c>
      <c r="C74" s="8" t="s">
        <v>191</v>
      </c>
      <c r="D74" s="3" t="s">
        <v>264</v>
      </c>
      <c r="E74" s="3" t="s">
        <v>54</v>
      </c>
      <c r="F74" t="str" s="3">
        <f>VLOOKUP(E74,'Master Inventory'!$B$2:$L$26,2,FALSE)</f>
        <v>Hair Mist Perfume 100ml</v>
      </c>
      <c r="G74" s="2">
        <v>6</v>
      </c>
      <c r="H74" s="2">
        <v>62500</v>
      </c>
      <c r="I74" s="4">
        <v>0.58</v>
      </c>
      <c r="J74" s="2">
        <v>26300</v>
      </c>
      <c r="K74" s="2">
        <f>J74*G74</f>
        <v>157800</v>
      </c>
      <c r="L74" s="2">
        <f>VLOOKUP(E74,'Master Inventory'!$B$2:$L$26,5,FALSE)</f>
        <v>20000</v>
      </c>
      <c r="M74" s="2">
        <f>L74*G74</f>
        <v>120000</v>
      </c>
      <c r="N74" s="2">
        <f>K74-M74</f>
        <v>37800</v>
      </c>
      <c r="O74" s="4">
        <f>IFERROR(N74/K74,0)</f>
        <v>0.239544</v>
      </c>
      <c r="P74" t="str" s="3">
        <f>IF(J74&lt;L74,"BELOW COGS","OK")</f>
        <v>OK</v>
      </c>
      <c r="Q74" s="4">
        <v>0.06</v>
      </c>
      <c r="R74" s="2">
        <f>K74*Q74</f>
        <v>9468</v>
      </c>
      <c r="S74" s="2">
        <f>K74-R74</f>
        <v>148332</v>
      </c>
      <c r="T74" s="2">
        <f>S74-M74</f>
        <v>28332</v>
      </c>
      <c r="U74" s="4">
        <f>IFERROR(T74/S74,0)</f>
        <v>0.191004</v>
      </c>
      <c r="V74" t="str" s="3">
        <f>IF(T74&lt;0,"RUGI SETELAH FEE","OK")</f>
        <v>OK</v>
      </c>
    </row>
    <row r="75">
      <c r="A75" s="8">
        <v>74</v>
      </c>
      <c r="B75" s="5">
        <v>46286</v>
      </c>
      <c r="C75" s="8" t="s">
        <v>191</v>
      </c>
      <c r="D75" s="3" t="s">
        <v>265</v>
      </c>
      <c r="E75" s="3" t="s">
        <v>56</v>
      </c>
      <c r="F75" t="str" s="3">
        <f>VLOOKUP(E75,'Master Inventory'!$B$2:$L$26,2,FALSE)</f>
        <v>Hair Vitamin Ampoule (Box 6pcs)</v>
      </c>
      <c r="G75" s="2">
        <v>2</v>
      </c>
      <c r="H75" s="2">
        <v>75000</v>
      </c>
      <c r="I75" s="4">
        <v>0.55</v>
      </c>
      <c r="J75" s="2">
        <v>33800</v>
      </c>
      <c r="K75" s="2">
        <f>J75*G75</f>
        <v>67600</v>
      </c>
      <c r="L75" s="2">
        <f>VLOOKUP(E75,'Master Inventory'!$B$2:$L$26,5,FALSE)</f>
        <v>26000</v>
      </c>
      <c r="M75" s="2">
        <f>L75*G75</f>
        <v>52000</v>
      </c>
      <c r="N75" s="2">
        <f>K75-M75</f>
        <v>15600</v>
      </c>
      <c r="O75" s="4">
        <f>IFERROR(N75/K75,0)</f>
        <v>0.230769</v>
      </c>
      <c r="P75" t="str" s="3">
        <f>IF(J75&lt;L75,"BELOW COGS","OK")</f>
        <v>OK</v>
      </c>
      <c r="Q75" s="4">
        <v>0.06</v>
      </c>
      <c r="R75" s="2">
        <f>K75*Q75</f>
        <v>4056</v>
      </c>
      <c r="S75" s="2">
        <f>K75-R75</f>
        <v>63544</v>
      </c>
      <c r="T75" s="2">
        <f>S75-M75</f>
        <v>11544</v>
      </c>
      <c r="U75" s="4">
        <f>IFERROR(T75/S75,0)</f>
        <v>0.181669</v>
      </c>
      <c r="V75" t="str" s="3">
        <f>IF(T75&lt;0,"RUGI SETELAH FEE","OK")</f>
        <v>OK</v>
      </c>
    </row>
    <row r="76">
      <c r="A76" s="8">
        <v>75</v>
      </c>
      <c r="B76" s="5">
        <v>46286</v>
      </c>
      <c r="C76" s="8" t="s">
        <v>191</v>
      </c>
      <c r="D76" s="3" t="s">
        <v>266</v>
      </c>
      <c r="E76" s="3" t="s">
        <v>61</v>
      </c>
      <c r="F76" t="str" s="3">
        <f>VLOOKUP(E76,'Master Inventory'!$B$2:$L$26,2,FALSE)</f>
        <v>Body Scrub Coffee 200g</v>
      </c>
      <c r="G76" s="2">
        <v>3</v>
      </c>
      <c r="H76" s="2">
        <v>53000</v>
      </c>
      <c r="I76" s="4">
        <v>0.03</v>
      </c>
      <c r="J76" s="2">
        <v>51400</v>
      </c>
      <c r="K76" s="2">
        <f>J76*G76</f>
        <v>154200</v>
      </c>
      <c r="L76" s="2">
        <f>VLOOKUP(E76,'Master Inventory'!$B$2:$L$26,5,FALSE)</f>
        <v>17000</v>
      </c>
      <c r="M76" s="2">
        <f>L76*G76</f>
        <v>51000</v>
      </c>
      <c r="N76" s="2">
        <f>K76-M76</f>
        <v>103200</v>
      </c>
      <c r="O76" s="4">
        <f>IFERROR(N76/K76,0)</f>
        <v>0.669261</v>
      </c>
      <c r="P76" t="str" s="3">
        <f>IF(J76&lt;L76,"BELOW COGS","OK")</f>
        <v>OK</v>
      </c>
      <c r="Q76" s="4">
        <v>0.06</v>
      </c>
      <c r="R76" s="2">
        <f>K76*Q76</f>
        <v>9252</v>
      </c>
      <c r="S76" s="2">
        <f>K76-R76</f>
        <v>144948</v>
      </c>
      <c r="T76" s="2">
        <f>S76-M76</f>
        <v>93948</v>
      </c>
      <c r="U76" s="4">
        <f>IFERROR(T76/S76,0)</f>
        <v>0.64815</v>
      </c>
      <c r="V76" t="str" s="3">
        <f>IF(T76&lt;0,"RUGI SETELAH FEE","OK")</f>
        <v>OK</v>
      </c>
    </row>
    <row r="77">
      <c r="A77" s="8">
        <v>76</v>
      </c>
      <c r="B77" s="5">
        <v>46287</v>
      </c>
      <c r="C77" s="8" t="s">
        <v>191</v>
      </c>
      <c r="D77" s="3" t="s">
        <v>267</v>
      </c>
      <c r="E77" s="3" t="s">
        <v>61</v>
      </c>
      <c r="F77" t="str" s="3">
        <f>VLOOKUP(E77,'Master Inventory'!$B$2:$L$26,2,FALSE)</f>
        <v>Body Scrub Coffee 200g</v>
      </c>
      <c r="G77" s="2">
        <v>4</v>
      </c>
      <c r="H77" s="2">
        <v>50000</v>
      </c>
      <c r="I77" s="4">
        <v>0.07</v>
      </c>
      <c r="J77" s="2">
        <v>46500</v>
      </c>
      <c r="K77" s="2">
        <f>J77*G77</f>
        <v>186000</v>
      </c>
      <c r="L77" s="2">
        <f>VLOOKUP(E77,'Master Inventory'!$B$2:$L$26,5,FALSE)</f>
        <v>17000</v>
      </c>
      <c r="M77" s="2">
        <f>L77*G77</f>
        <v>68000</v>
      </c>
      <c r="N77" s="2">
        <f>K77-M77</f>
        <v>118000</v>
      </c>
      <c r="O77" s="4">
        <f>IFERROR(N77/K77,0)</f>
        <v>0.634409</v>
      </c>
      <c r="P77" t="str" s="3">
        <f>IF(J77&lt;L77,"BELOW COGS","OK")</f>
        <v>OK</v>
      </c>
      <c r="Q77" s="4">
        <v>0.06</v>
      </c>
      <c r="R77" s="2">
        <f>K77*Q77</f>
        <v>11160</v>
      </c>
      <c r="S77" s="2">
        <f>K77-R77</f>
        <v>174840</v>
      </c>
      <c r="T77" s="2">
        <f>S77-M77</f>
        <v>106840</v>
      </c>
      <c r="U77" s="4">
        <f>IFERROR(T77/S77,0)</f>
        <v>0.611073</v>
      </c>
      <c r="V77" t="str" s="3">
        <f>IF(T77&lt;0,"RUGI SETELAH FEE","OK")</f>
        <v>OK</v>
      </c>
    </row>
    <row r="78">
      <c r="A78" s="8">
        <v>77</v>
      </c>
      <c r="B78" s="5">
        <v>46287</v>
      </c>
      <c r="C78" s="8" t="s">
        <v>191</v>
      </c>
      <c r="D78" s="3" t="s">
        <v>268</v>
      </c>
      <c r="E78" s="3" t="s">
        <v>54</v>
      </c>
      <c r="F78" t="str" s="3">
        <f>VLOOKUP(E78,'Master Inventory'!$B$2:$L$26,2,FALSE)</f>
        <v>Hair Mist Perfume 100ml</v>
      </c>
      <c r="G78" s="2">
        <v>3</v>
      </c>
      <c r="H78" s="2">
        <v>58500</v>
      </c>
      <c r="I78" s="4">
        <v>0.19</v>
      </c>
      <c r="J78" s="2">
        <v>47400</v>
      </c>
      <c r="K78" s="2">
        <f>J78*G78</f>
        <v>142200</v>
      </c>
      <c r="L78" s="2">
        <f>VLOOKUP(E78,'Master Inventory'!$B$2:$L$26,5,FALSE)</f>
        <v>20000</v>
      </c>
      <c r="M78" s="2">
        <f>L78*G78</f>
        <v>60000</v>
      </c>
      <c r="N78" s="2">
        <f>K78-M78</f>
        <v>82200</v>
      </c>
      <c r="O78" s="4">
        <f>IFERROR(N78/K78,0)</f>
        <v>0.578059</v>
      </c>
      <c r="P78" t="str" s="3">
        <f>IF(J78&lt;L78,"BELOW COGS","OK")</f>
        <v>OK</v>
      </c>
      <c r="Q78" s="4">
        <v>0.06</v>
      </c>
      <c r="R78" s="2">
        <f>K78*Q78</f>
        <v>8532</v>
      </c>
      <c r="S78" s="2">
        <f>K78-R78</f>
        <v>133668</v>
      </c>
      <c r="T78" s="2">
        <f>S78-M78</f>
        <v>73668</v>
      </c>
      <c r="U78" s="4">
        <f>IFERROR(T78/S78,0)</f>
        <v>0.551127</v>
      </c>
      <c r="V78" t="str" s="3">
        <f>IF(T78&lt;0,"RUGI SETELAH FEE","OK")</f>
        <v>OK</v>
      </c>
    </row>
    <row r="79">
      <c r="A79" s="8">
        <v>78</v>
      </c>
      <c r="B79" s="5">
        <v>46287</v>
      </c>
      <c r="C79" s="8" t="s">
        <v>191</v>
      </c>
      <c r="D79" s="3" t="s">
        <v>269</v>
      </c>
      <c r="E79" s="3" t="s">
        <v>12</v>
      </c>
      <c r="F79" t="str" s="3">
        <f>VLOOKUP(E79,'Master Inventory'!$B$2:$L$26,2,FALSE)</f>
        <v>Facial Wash Gentle Foam 100ml</v>
      </c>
      <c r="G79" s="2">
        <v>4</v>
      </c>
      <c r="H79" s="2">
        <v>48500</v>
      </c>
      <c r="I79" s="4">
        <v>0.13</v>
      </c>
      <c r="J79" s="2">
        <v>42200</v>
      </c>
      <c r="K79" s="2">
        <f>J79*G79</f>
        <v>168800</v>
      </c>
      <c r="L79" s="2">
        <f>VLOOKUP(E79,'Master Inventory'!$B$2:$L$26,5,FALSE)</f>
        <v>16000</v>
      </c>
      <c r="M79" s="2">
        <f>L79*G79</f>
        <v>64000</v>
      </c>
      <c r="N79" s="2">
        <f>K79-M79</f>
        <v>104800</v>
      </c>
      <c r="O79" s="4">
        <f>IFERROR(N79/K79,0)</f>
        <v>0.620853</v>
      </c>
      <c r="P79" t="str" s="3">
        <f>IF(J79&lt;L79,"BELOW COGS","OK")</f>
        <v>OK</v>
      </c>
      <c r="Q79" s="4">
        <v>0.06</v>
      </c>
      <c r="R79" s="2">
        <f>K79*Q79</f>
        <v>10128</v>
      </c>
      <c r="S79" s="2">
        <f>K79-R79</f>
        <v>158672</v>
      </c>
      <c r="T79" s="2">
        <f>S79-M79</f>
        <v>94672</v>
      </c>
      <c r="U79" s="4">
        <f>IFERROR(T79/S79,0)</f>
        <v>0.596652</v>
      </c>
      <c r="V79" t="str" s="3">
        <f>IF(T79&lt;0,"RUGI SETELAH FEE","OK")</f>
        <v>OK</v>
      </c>
    </row>
    <row r="80">
      <c r="A80" s="8">
        <v>79</v>
      </c>
      <c r="B80" s="5">
        <v>46288</v>
      </c>
      <c r="C80" s="8" t="s">
        <v>191</v>
      </c>
      <c r="D80" s="3" t="s">
        <v>270</v>
      </c>
      <c r="E80" s="3" t="s">
        <v>28</v>
      </c>
      <c r="F80" t="str" s="3">
        <f>VLOOKUP(E80,'Master Inventory'!$B$2:$L$26,2,FALSE)</f>
        <v>Eye Cream Anti Aging 15ml</v>
      </c>
      <c r="G80" s="2">
        <v>1</v>
      </c>
      <c r="H80" s="2">
        <v>107000</v>
      </c>
      <c r="I80" s="4">
        <v>0.02</v>
      </c>
      <c r="J80" s="2">
        <v>104900</v>
      </c>
      <c r="K80" s="2">
        <f>J80*G80</f>
        <v>104900</v>
      </c>
      <c r="L80" s="2">
        <f>VLOOKUP(E80,'Master Inventory'!$B$2:$L$26,5,FALSE)</f>
        <v>38000</v>
      </c>
      <c r="M80" s="2">
        <f>L80*G80</f>
        <v>38000</v>
      </c>
      <c r="N80" s="2">
        <f>K80-M80</f>
        <v>66900</v>
      </c>
      <c r="O80" s="4">
        <f>IFERROR(N80/K80,0)</f>
        <v>0.63775</v>
      </c>
      <c r="P80" t="str" s="3">
        <f>IF(J80&lt;L80,"BELOW COGS","OK")</f>
        <v>OK</v>
      </c>
      <c r="Q80" s="4">
        <v>0.06</v>
      </c>
      <c r="R80" s="2">
        <f>K80*Q80</f>
        <v>6294</v>
      </c>
      <c r="S80" s="2">
        <f>K80-R80</f>
        <v>98606</v>
      </c>
      <c r="T80" s="2">
        <f>S80-M80</f>
        <v>60606</v>
      </c>
      <c r="U80" s="4">
        <f>IFERROR(T80/S80,0)</f>
        <v>0.614628</v>
      </c>
      <c r="V80" t="str" s="3">
        <f>IF(T80&lt;0,"RUGI SETELAH FEE","OK")</f>
        <v>OK</v>
      </c>
    </row>
    <row r="81">
      <c r="A81" s="8">
        <v>80</v>
      </c>
      <c r="B81" s="5">
        <v>46288</v>
      </c>
      <c r="C81" s="8" t="s">
        <v>191</v>
      </c>
      <c r="D81" s="3" t="s">
        <v>271</v>
      </c>
      <c r="E81" s="3" t="s">
        <v>68</v>
      </c>
      <c r="F81" t="str" s="3">
        <f>VLOOKUP(E81,'Master Inventory'!$B$2:$L$26,2,FALSE)</f>
        <v>Eau de Parfum 50ml</v>
      </c>
      <c r="G81" s="2">
        <v>3</v>
      </c>
      <c r="H81" s="2">
        <v>277000</v>
      </c>
      <c r="I81" s="4">
        <v>0.12</v>
      </c>
      <c r="J81" s="2">
        <v>243800</v>
      </c>
      <c r="K81" s="2">
        <f>J81*G81</f>
        <v>731400</v>
      </c>
      <c r="L81" s="2">
        <f>VLOOKUP(E81,'Master Inventory'!$B$2:$L$26,5,FALSE)</f>
        <v>85000</v>
      </c>
      <c r="M81" s="2">
        <f>L81*G81</f>
        <v>255000</v>
      </c>
      <c r="N81" s="2">
        <f>K81-M81</f>
        <v>476400</v>
      </c>
      <c r="O81" s="4">
        <f>IFERROR(N81/K81,0)</f>
        <v>0.651354</v>
      </c>
      <c r="P81" t="str" s="3">
        <f>IF(J81&lt;L81,"BELOW COGS","OK")</f>
        <v>OK</v>
      </c>
      <c r="Q81" s="4">
        <v>0.06</v>
      </c>
      <c r="R81" s="2">
        <f>K81*Q81</f>
        <v>43884</v>
      </c>
      <c r="S81" s="2">
        <f>K81-R81</f>
        <v>687516</v>
      </c>
      <c r="T81" s="2">
        <f>S81-M81</f>
        <v>432516</v>
      </c>
      <c r="U81" s="4">
        <f>IFERROR(T81/S81,0)</f>
        <v>0.6291</v>
      </c>
      <c r="V81" t="str" s="3">
        <f>IF(T81&lt;0,"RUGI SETELAH FEE","OK")</f>
        <v>OK</v>
      </c>
    </row>
    <row r="82">
      <c r="A82" s="8">
        <v>81</v>
      </c>
      <c r="B82" s="5">
        <v>46288</v>
      </c>
      <c r="C82" s="8" t="s">
        <v>191</v>
      </c>
      <c r="D82" s="3" t="s">
        <v>272</v>
      </c>
      <c r="E82" s="3" t="s">
        <v>68</v>
      </c>
      <c r="F82" t="str" s="3">
        <f>VLOOKUP(E82,'Master Inventory'!$B$2:$L$26,2,FALSE)</f>
        <v>Eau de Parfum 50ml</v>
      </c>
      <c r="G82" s="2">
        <v>4</v>
      </c>
      <c r="H82" s="2">
        <v>278500</v>
      </c>
      <c r="I82" s="4">
        <v>0.57</v>
      </c>
      <c r="J82" s="2">
        <v>119800</v>
      </c>
      <c r="K82" s="2">
        <f>J82*G82</f>
        <v>479200</v>
      </c>
      <c r="L82" s="2">
        <f>VLOOKUP(E82,'Master Inventory'!$B$2:$L$26,5,FALSE)</f>
        <v>85000</v>
      </c>
      <c r="M82" s="2">
        <f>L82*G82</f>
        <v>340000</v>
      </c>
      <c r="N82" s="2">
        <f>K82-M82</f>
        <v>139200</v>
      </c>
      <c r="O82" s="4">
        <f>IFERROR(N82/K82,0)</f>
        <v>0.290484</v>
      </c>
      <c r="P82" t="str" s="3">
        <f>IF(J82&lt;L82,"BELOW COGS","OK")</f>
        <v>OK</v>
      </c>
      <c r="Q82" s="4">
        <v>0.06</v>
      </c>
      <c r="R82" s="2">
        <f>K82*Q82</f>
        <v>28752</v>
      </c>
      <c r="S82" s="2">
        <f>K82-R82</f>
        <v>450448</v>
      </c>
      <c r="T82" s="2">
        <f>S82-M82</f>
        <v>110448</v>
      </c>
      <c r="U82" s="4">
        <f>IFERROR(T82/S82,0)</f>
        <v>0.245196</v>
      </c>
      <c r="V82" t="str" s="3">
        <f>IF(T82&lt;0,"RUGI SETELAH FEE","OK")</f>
        <v>OK</v>
      </c>
    </row>
    <row r="83">
      <c r="A83" s="8">
        <v>82</v>
      </c>
      <c r="B83" s="5">
        <v>46289</v>
      </c>
      <c r="C83" s="8" t="s">
        <v>191</v>
      </c>
      <c r="D83" s="3" t="s">
        <v>273</v>
      </c>
      <c r="E83" s="3" t="s">
        <v>63</v>
      </c>
      <c r="F83" t="str" s="3">
        <f>VLOOKUP(E83,'Master Inventory'!$B$2:$L$26,2,FALSE)</f>
        <v>Body Mist Fresh Bloom 100ml</v>
      </c>
      <c r="G83" s="2">
        <v>1</v>
      </c>
      <c r="H83" s="2">
        <v>58000</v>
      </c>
      <c r="I83" s="4">
        <v>0.62</v>
      </c>
      <c r="J83" s="2">
        <v>22000</v>
      </c>
      <c r="K83" s="2">
        <f>J83*G83</f>
        <v>22000</v>
      </c>
      <c r="L83" s="2">
        <f>VLOOKUP(E83,'Master Inventory'!$B$2:$L$26,5,FALSE)</f>
        <v>19000</v>
      </c>
      <c r="M83" s="2">
        <f>L83*G83</f>
        <v>19000</v>
      </c>
      <c r="N83" s="2">
        <f>K83-M83</f>
        <v>3000</v>
      </c>
      <c r="O83" s="4">
        <f>IFERROR(N83/K83,0)</f>
        <v>0.136364</v>
      </c>
      <c r="P83" t="str" s="3">
        <f>IF(J83&lt;L83,"BELOW COGS","OK")</f>
        <v>OK</v>
      </c>
      <c r="Q83" s="4">
        <v>0.06</v>
      </c>
      <c r="R83" s="2">
        <f>K83*Q83</f>
        <v>1320</v>
      </c>
      <c r="S83" s="2">
        <f>K83-R83</f>
        <v>20680</v>
      </c>
      <c r="T83" s="2">
        <f>S83-M83</f>
        <v>1680</v>
      </c>
      <c r="U83" s="4">
        <f>IFERROR(T83/S83,0)</f>
        <v>0.081238</v>
      </c>
      <c r="V83" t="str" s="3">
        <f>IF(T83&lt;0,"RUGI SETELAH FEE","OK")</f>
        <v>OK</v>
      </c>
    </row>
    <row r="84">
      <c r="A84" s="8">
        <v>83</v>
      </c>
      <c r="B84" s="5">
        <v>46289</v>
      </c>
      <c r="C84" s="8" t="s">
        <v>191</v>
      </c>
      <c r="D84" s="3" t="s">
        <v>274</v>
      </c>
      <c r="E84" s="3" t="s">
        <v>52</v>
      </c>
      <c r="F84" t="str" s="3">
        <f>VLOOKUP(E84,'Master Inventory'!$B$2:$L$26,2,FALSE)</f>
        <v>Conditioner Repair 300ml</v>
      </c>
      <c r="G84" s="2">
        <v>3</v>
      </c>
      <c r="H84" s="2">
        <v>47500</v>
      </c>
      <c r="I84" s="4">
        <v>0.16</v>
      </c>
      <c r="J84" s="2">
        <v>39900</v>
      </c>
      <c r="K84" s="2">
        <f>J84*G84</f>
        <v>119700</v>
      </c>
      <c r="L84" s="2">
        <f>VLOOKUP(E84,'Master Inventory'!$B$2:$L$26,5,FALSE)</f>
        <v>18000</v>
      </c>
      <c r="M84" s="2">
        <f>L84*G84</f>
        <v>54000</v>
      </c>
      <c r="N84" s="2">
        <f>K84-M84</f>
        <v>65700</v>
      </c>
      <c r="O84" s="4">
        <f>IFERROR(N84/K84,0)</f>
        <v>0.548872</v>
      </c>
      <c r="P84" t="str" s="3">
        <f>IF(J84&lt;L84,"BELOW COGS","OK")</f>
        <v>OK</v>
      </c>
      <c r="Q84" s="4">
        <v>0.06</v>
      </c>
      <c r="R84" s="2">
        <f>K84*Q84</f>
        <v>7182</v>
      </c>
      <c r="S84" s="2">
        <f>K84-R84</f>
        <v>112518</v>
      </c>
      <c r="T84" s="2">
        <f>S84-M84</f>
        <v>58518</v>
      </c>
      <c r="U84" s="4">
        <f>IFERROR(T84/S84,0)</f>
        <v>0.520077</v>
      </c>
      <c r="V84" t="str" s="3">
        <f>IF(T84&lt;0,"RUGI SETELAH FEE","OK")</f>
        <v>OK</v>
      </c>
    </row>
    <row r="85">
      <c r="A85" s="8">
        <v>84</v>
      </c>
      <c r="B85" s="5">
        <v>46289</v>
      </c>
      <c r="C85" s="8" t="s">
        <v>191</v>
      </c>
      <c r="D85" s="3" t="s">
        <v>275</v>
      </c>
      <c r="E85" s="3" t="s">
        <v>47</v>
      </c>
      <c r="F85" t="str" s="3">
        <f>VLOOKUP(E85,'Master Inventory'!$B$2:$L$26,2,FALSE)</f>
        <v>Hair Serum Anti Frizz 60ml</v>
      </c>
      <c r="G85" s="2">
        <v>6</v>
      </c>
      <c r="H85" s="2">
        <v>74500</v>
      </c>
      <c r="I85" s="4">
        <v>0.3</v>
      </c>
      <c r="J85" s="2">
        <v>52200</v>
      </c>
      <c r="K85" s="2">
        <f>J85*G85</f>
        <v>313200</v>
      </c>
      <c r="L85" s="2">
        <f>VLOOKUP(E85,'Master Inventory'!$B$2:$L$26,5,FALSE)</f>
        <v>24000</v>
      </c>
      <c r="M85" s="2">
        <f>L85*G85</f>
        <v>144000</v>
      </c>
      <c r="N85" s="2">
        <f>K85-M85</f>
        <v>169200</v>
      </c>
      <c r="O85" s="4">
        <f>IFERROR(N85/K85,0)</f>
        <v>0.54023</v>
      </c>
      <c r="P85" t="str" s="3">
        <f>IF(J85&lt;L85,"BELOW COGS","OK")</f>
        <v>OK</v>
      </c>
      <c r="Q85" s="4">
        <v>0.06</v>
      </c>
      <c r="R85" s="2">
        <f>K85*Q85</f>
        <v>18792</v>
      </c>
      <c r="S85" s="2">
        <f>K85-R85</f>
        <v>294408</v>
      </c>
      <c r="T85" s="2">
        <f>S85-M85</f>
        <v>150408</v>
      </c>
      <c r="U85" s="4">
        <f>IFERROR(T85/S85,0)</f>
        <v>0.510883</v>
      </c>
      <c r="V85" t="str" s="3">
        <f>IF(T85&lt;0,"RUGI SETELAH FEE","OK")</f>
        <v>OK</v>
      </c>
    </row>
    <row r="86">
      <c r="A86" s="8">
        <v>85</v>
      </c>
      <c r="B86" s="5">
        <v>46289</v>
      </c>
      <c r="C86" s="8" t="s">
        <v>191</v>
      </c>
      <c r="D86" s="3" t="s">
        <v>276</v>
      </c>
      <c r="E86" s="3" t="s">
        <v>17</v>
      </c>
      <c r="F86" t="str" s="3">
        <f>VLOOKUP(E86,'Master Inventory'!$B$2:$L$26,2,FALSE)</f>
        <v>Toner Hydrating Rose 150ml</v>
      </c>
      <c r="G86" s="2">
        <v>5</v>
      </c>
      <c r="H86" s="2">
        <v>62000</v>
      </c>
      <c r="I86" s="4">
        <v>0.07</v>
      </c>
      <c r="J86" s="2">
        <v>57700</v>
      </c>
      <c r="K86" s="2">
        <f>J86*G86</f>
        <v>288500</v>
      </c>
      <c r="L86" s="2">
        <f>VLOOKUP(E86,'Master Inventory'!$B$2:$L$26,5,FALSE)</f>
        <v>22000</v>
      </c>
      <c r="M86" s="2">
        <f>L86*G86</f>
        <v>110000</v>
      </c>
      <c r="N86" s="2">
        <f>K86-M86</f>
        <v>178500</v>
      </c>
      <c r="O86" s="4">
        <f>IFERROR(N86/K86,0)</f>
        <v>0.618718</v>
      </c>
      <c r="P86" t="str" s="3">
        <f>IF(J86&lt;L86,"BELOW COGS","OK")</f>
        <v>OK</v>
      </c>
      <c r="Q86" s="4">
        <v>0.06</v>
      </c>
      <c r="R86" s="2">
        <f>K86*Q86</f>
        <v>17310</v>
      </c>
      <c r="S86" s="2">
        <f>K86-R86</f>
        <v>271190</v>
      </c>
      <c r="T86" s="2">
        <f>S86-M86</f>
        <v>161190</v>
      </c>
      <c r="U86" s="4">
        <f>IFERROR(T86/S86,0)</f>
        <v>0.59438</v>
      </c>
      <c r="V86" t="str" s="3">
        <f>IF(T86&lt;0,"RUGI SETELAH FEE","OK")</f>
        <v>OK</v>
      </c>
    </row>
    <row r="87">
      <c r="A87" s="8">
        <v>86</v>
      </c>
      <c r="B87" s="5">
        <v>46290</v>
      </c>
      <c r="C87" s="8" t="s">
        <v>191</v>
      </c>
      <c r="D87" s="3" t="s">
        <v>277</v>
      </c>
      <c r="E87" s="3" t="s">
        <v>63</v>
      </c>
      <c r="F87" t="str" s="3">
        <f>VLOOKUP(E87,'Master Inventory'!$B$2:$L$26,2,FALSE)</f>
        <v>Body Mist Fresh Bloom 100ml</v>
      </c>
      <c r="G87" s="2">
        <v>2</v>
      </c>
      <c r="H87" s="2">
        <v>51500</v>
      </c>
      <c r="I87" s="4">
        <v>0.02</v>
      </c>
      <c r="J87" s="2">
        <v>50500</v>
      </c>
      <c r="K87" s="2">
        <f>J87*G87</f>
        <v>101000</v>
      </c>
      <c r="L87" s="2">
        <f>VLOOKUP(E87,'Master Inventory'!$B$2:$L$26,5,FALSE)</f>
        <v>19000</v>
      </c>
      <c r="M87" s="2">
        <f>L87*G87</f>
        <v>38000</v>
      </c>
      <c r="N87" s="2">
        <f>K87-M87</f>
        <v>63000</v>
      </c>
      <c r="O87" s="4">
        <f>IFERROR(N87/K87,0)</f>
        <v>0.623762</v>
      </c>
      <c r="P87" t="str" s="3">
        <f>IF(J87&lt;L87,"BELOW COGS","OK")</f>
        <v>OK</v>
      </c>
      <c r="Q87" s="4">
        <v>0.06</v>
      </c>
      <c r="R87" s="2">
        <f>K87*Q87</f>
        <v>6060</v>
      </c>
      <c r="S87" s="2">
        <f>K87-R87</f>
        <v>94940</v>
      </c>
      <c r="T87" s="2">
        <f>S87-M87</f>
        <v>56940</v>
      </c>
      <c r="U87" s="4">
        <f>IFERROR(T87/S87,0)</f>
        <v>0.599747</v>
      </c>
      <c r="V87" t="str" s="3">
        <f>IF(T87&lt;0,"RUGI SETELAH FEE","OK")</f>
        <v>OK</v>
      </c>
    </row>
    <row r="88">
      <c r="A88" s="8">
        <v>87</v>
      </c>
      <c r="B88" s="5">
        <v>46290</v>
      </c>
      <c r="C88" s="8" t="s">
        <v>191</v>
      </c>
      <c r="D88" s="3" t="s">
        <v>278</v>
      </c>
      <c r="E88" s="3" t="s">
        <v>47</v>
      </c>
      <c r="F88" t="str" s="3">
        <f>VLOOKUP(E88,'Master Inventory'!$B$2:$L$26,2,FALSE)</f>
        <v>Hair Serum Anti Frizz 60ml</v>
      </c>
      <c r="G88" s="2">
        <v>6</v>
      </c>
      <c r="H88" s="2">
        <v>68000</v>
      </c>
      <c r="I88" s="4">
        <v>0.61</v>
      </c>
      <c r="J88" s="2">
        <v>26500</v>
      </c>
      <c r="K88" s="2">
        <f>J88*G88</f>
        <v>159000</v>
      </c>
      <c r="L88" s="2">
        <f>VLOOKUP(E88,'Master Inventory'!$B$2:$L$26,5,FALSE)</f>
        <v>24000</v>
      </c>
      <c r="M88" s="2">
        <f>L88*G88</f>
        <v>144000</v>
      </c>
      <c r="N88" s="2">
        <f>K88-M88</f>
        <v>15000</v>
      </c>
      <c r="O88" s="4">
        <f>IFERROR(N88/K88,0)</f>
        <v>0.09434</v>
      </c>
      <c r="P88" t="str" s="3">
        <f>IF(J88&lt;L88,"BELOW COGS","OK")</f>
        <v>OK</v>
      </c>
      <c r="Q88" s="4">
        <v>0.06</v>
      </c>
      <c r="R88" s="2">
        <f>K88*Q88</f>
        <v>9540</v>
      </c>
      <c r="S88" s="2">
        <f>K88-R88</f>
        <v>149460</v>
      </c>
      <c r="T88" s="2">
        <f>S88-M88</f>
        <v>5460</v>
      </c>
      <c r="U88" s="4">
        <f>IFERROR(T88/S88,0)</f>
        <v>0.036532</v>
      </c>
      <c r="V88" t="str" s="3">
        <f>IF(T88&lt;0,"RUGI SETELAH FEE","OK")</f>
        <v>OK</v>
      </c>
    </row>
    <row r="89">
      <c r="A89" s="8">
        <v>88</v>
      </c>
      <c r="B89" s="5">
        <v>46290</v>
      </c>
      <c r="C89" s="8" t="s">
        <v>191</v>
      </c>
      <c r="D89" s="3" t="s">
        <v>279</v>
      </c>
      <c r="E89" s="3" t="s">
        <v>30</v>
      </c>
      <c r="F89" t="str" s="3">
        <f>VLOOKUP(E89,'Master Inventory'!$B$2:$L$26,2,FALSE)</f>
        <v>Sheet Mask Brightening (Box 5pcs)</v>
      </c>
      <c r="G89" s="2">
        <v>5</v>
      </c>
      <c r="H89" s="2">
        <v>58500</v>
      </c>
      <c r="I89" s="4">
        <v>0.59</v>
      </c>
      <c r="J89" s="2">
        <v>24000</v>
      </c>
      <c r="K89" s="2">
        <f>J89*G89</f>
        <v>120000</v>
      </c>
      <c r="L89" s="2">
        <f>VLOOKUP(E89,'Master Inventory'!$B$2:$L$26,5,FALSE)</f>
        <v>20000</v>
      </c>
      <c r="M89" s="2">
        <f>L89*G89</f>
        <v>100000</v>
      </c>
      <c r="N89" s="2">
        <f>K89-M89</f>
        <v>20000</v>
      </c>
      <c r="O89" s="4">
        <f>IFERROR(N89/K89,0)</f>
        <v>0.166667</v>
      </c>
      <c r="P89" t="str" s="3">
        <f>IF(J89&lt;L89,"BELOW COGS","OK")</f>
        <v>OK</v>
      </c>
      <c r="Q89" s="4">
        <v>0.06</v>
      </c>
      <c r="R89" s="2">
        <f>K89*Q89</f>
        <v>7200</v>
      </c>
      <c r="S89" s="2">
        <f>K89-R89</f>
        <v>112800</v>
      </c>
      <c r="T89" s="2">
        <f>S89-M89</f>
        <v>12800</v>
      </c>
      <c r="U89" s="4">
        <f>IFERROR(T89/S89,0)</f>
        <v>0.113475</v>
      </c>
      <c r="V89" t="str" s="3">
        <f>IF(T89&lt;0,"RUGI SETELAH FEE","OK")</f>
        <v>OK</v>
      </c>
    </row>
    <row r="90">
      <c r="A90" s="8">
        <v>89</v>
      </c>
      <c r="B90" s="5">
        <v>46291</v>
      </c>
      <c r="C90" s="8" t="s">
        <v>191</v>
      </c>
      <c r="D90" s="3" t="s">
        <v>280</v>
      </c>
      <c r="E90" s="3" t="s">
        <v>12</v>
      </c>
      <c r="F90" t="str" s="3">
        <f>VLOOKUP(E90,'Master Inventory'!$B$2:$L$26,2,FALSE)</f>
        <v>Facial Wash Gentle Foam 100ml</v>
      </c>
      <c r="G90" s="2">
        <v>1</v>
      </c>
      <c r="H90" s="2">
        <v>43000</v>
      </c>
      <c r="I90" s="4">
        <v>0.15</v>
      </c>
      <c r="J90" s="2">
        <v>36600</v>
      </c>
      <c r="K90" s="2">
        <f>J90*G90</f>
        <v>36600</v>
      </c>
      <c r="L90" s="2">
        <f>VLOOKUP(E90,'Master Inventory'!$B$2:$L$26,5,FALSE)</f>
        <v>16000</v>
      </c>
      <c r="M90" s="2">
        <f>L90*G90</f>
        <v>16000</v>
      </c>
      <c r="N90" s="2">
        <f>K90-M90</f>
        <v>20600</v>
      </c>
      <c r="O90" s="4">
        <f>IFERROR(N90/K90,0)</f>
        <v>0.562842</v>
      </c>
      <c r="P90" t="str" s="3">
        <f>IF(J90&lt;L90,"BELOW COGS","OK")</f>
        <v>OK</v>
      </c>
      <c r="Q90" s="4">
        <v>0.06</v>
      </c>
      <c r="R90" s="2">
        <f>K90*Q90</f>
        <v>2196</v>
      </c>
      <c r="S90" s="2">
        <f>K90-R90</f>
        <v>34404</v>
      </c>
      <c r="T90" s="2">
        <f>S90-M90</f>
        <v>18404</v>
      </c>
      <c r="U90" s="4">
        <f>IFERROR(T90/S90,0)</f>
        <v>0.534938</v>
      </c>
      <c r="V90" t="str" s="3">
        <f>IF(T90&lt;0,"RUGI SETELAH FEE","OK")</f>
        <v>OK</v>
      </c>
    </row>
    <row r="91">
      <c r="A91" s="8">
        <v>90</v>
      </c>
      <c r="B91" s="5">
        <v>46291</v>
      </c>
      <c r="C91" s="8" t="s">
        <v>191</v>
      </c>
      <c r="D91" s="3" t="s">
        <v>281</v>
      </c>
      <c r="E91" s="3" t="s">
        <v>58</v>
      </c>
      <c r="F91" t="str" s="3">
        <f>VLOOKUP(E91,'Master Inventory'!$B$2:$L$26,2,FALSE)</f>
        <v>Body Lotion Brightening 200ml</v>
      </c>
      <c r="G91" s="2">
        <v>2</v>
      </c>
      <c r="H91" s="2">
        <v>45000</v>
      </c>
      <c r="I91" s="4">
        <v>0.67</v>
      </c>
      <c r="J91" s="2">
        <v>14800</v>
      </c>
      <c r="K91" s="2">
        <f>J91*G91</f>
        <v>29600</v>
      </c>
      <c r="L91" s="2">
        <f>VLOOKUP(E91,'Master Inventory'!$B$2:$L$26,5,FALSE)</f>
        <v>16000</v>
      </c>
      <c r="M91" s="2">
        <f>L91*G91</f>
        <v>32000</v>
      </c>
      <c r="N91" s="2">
        <f>K91-M91</f>
        <v>-2400</v>
      </c>
      <c r="O91" s="4">
        <f>IFERROR(N91/K91,0)</f>
        <v>-0.081081</v>
      </c>
      <c r="P91" t="str" s="3">
        <f>IF(J91&lt;L91,"BELOW COGS","OK")</f>
        <v>BELOW COGS</v>
      </c>
      <c r="Q91" s="4">
        <v>0.06</v>
      </c>
      <c r="R91" s="2">
        <f>K91*Q91</f>
        <v>1776</v>
      </c>
      <c r="S91" s="2">
        <f>K91-R91</f>
        <v>27824</v>
      </c>
      <c r="T91" s="2">
        <f>S91-M91</f>
        <v>-4176</v>
      </c>
      <c r="U91" s="4">
        <f>IFERROR(T91/S91,0)</f>
        <v>-0.150086</v>
      </c>
      <c r="V91" t="str" s="3">
        <f>IF(T91&lt;0,"RUGI SETELAH FEE","OK")</f>
        <v>RUGI SETELAH FEE</v>
      </c>
    </row>
    <row r="92">
      <c r="A92" s="8">
        <v>91</v>
      </c>
      <c r="B92" s="5">
        <v>46291</v>
      </c>
      <c r="C92" s="8" t="s">
        <v>191</v>
      </c>
      <c r="D92" s="3" t="s">
        <v>282</v>
      </c>
      <c r="E92" s="3" t="s">
        <v>35</v>
      </c>
      <c r="F92" t="str" s="3">
        <f>VLOOKUP(E92,'Master Inventory'!$B$2:$L$26,2,FALSE)</f>
        <v>Lip Cream Matte Long Lasting</v>
      </c>
      <c r="G92" s="2">
        <v>6</v>
      </c>
      <c r="H92" s="2">
        <v>45000</v>
      </c>
      <c r="I92" s="4">
        <v>0.04</v>
      </c>
      <c r="J92" s="2">
        <v>43200</v>
      </c>
      <c r="K92" s="2">
        <f>J92*G92</f>
        <v>259200</v>
      </c>
      <c r="L92" s="2">
        <f>VLOOKUP(E92,'Master Inventory'!$B$2:$L$26,5,FALSE)</f>
        <v>15000</v>
      </c>
      <c r="M92" s="2">
        <f>L92*G92</f>
        <v>90000</v>
      </c>
      <c r="N92" s="2">
        <f>K92-M92</f>
        <v>169200</v>
      </c>
      <c r="O92" s="4">
        <f>IFERROR(N92/K92,0)</f>
        <v>0.652778</v>
      </c>
      <c r="P92" t="str" s="3">
        <f>IF(J92&lt;L92,"BELOW COGS","OK")</f>
        <v>OK</v>
      </c>
      <c r="Q92" s="4">
        <v>0.06</v>
      </c>
      <c r="R92" s="2">
        <f>K92*Q92</f>
        <v>15552</v>
      </c>
      <c r="S92" s="2">
        <f>K92-R92</f>
        <v>243648</v>
      </c>
      <c r="T92" s="2">
        <f>S92-M92</f>
        <v>153648</v>
      </c>
      <c r="U92" s="4">
        <f>IFERROR(T92/S92,0)</f>
        <v>0.630615</v>
      </c>
      <c r="V92" t="str" s="3">
        <f>IF(T92&lt;0,"RUGI SETELAH FEE","OK")</f>
        <v>OK</v>
      </c>
    </row>
    <row r="93">
      <c r="A93" s="8">
        <v>92</v>
      </c>
      <c r="B93" s="5">
        <v>46292</v>
      </c>
      <c r="C93" s="8" t="s">
        <v>191</v>
      </c>
      <c r="D93" s="3" t="s">
        <v>283</v>
      </c>
      <c r="E93" s="3" t="s">
        <v>43</v>
      </c>
      <c r="F93" t="str" s="3">
        <f>VLOOKUP(E93,'Master Inventory'!$B$2:$L$26,2,FALSE)</f>
        <v>Mascara Volume &amp; Curl</v>
      </c>
      <c r="G93" s="2">
        <v>5</v>
      </c>
      <c r="H93" s="2">
        <v>62000</v>
      </c>
      <c r="I93" s="4">
        <v>0.22</v>
      </c>
      <c r="J93" s="2">
        <v>48400</v>
      </c>
      <c r="K93" s="2">
        <f>J93*G93</f>
        <v>242000</v>
      </c>
      <c r="L93" s="2">
        <f>VLOOKUP(E93,'Master Inventory'!$B$2:$L$26,5,FALSE)</f>
        <v>18000</v>
      </c>
      <c r="M93" s="2">
        <f>L93*G93</f>
        <v>90000</v>
      </c>
      <c r="N93" s="2">
        <f>K93-M93</f>
        <v>152000</v>
      </c>
      <c r="O93" s="4">
        <f>IFERROR(N93/K93,0)</f>
        <v>0.628099</v>
      </c>
      <c r="P93" t="str" s="3">
        <f>IF(J93&lt;L93,"BELOW COGS","OK")</f>
        <v>OK</v>
      </c>
      <c r="Q93" s="4">
        <v>0.06</v>
      </c>
      <c r="R93" s="2">
        <f>K93*Q93</f>
        <v>14520</v>
      </c>
      <c r="S93" s="2">
        <f>K93-R93</f>
        <v>227480</v>
      </c>
      <c r="T93" s="2">
        <f>S93-M93</f>
        <v>137480</v>
      </c>
      <c r="U93" s="4">
        <f>IFERROR(T93/S93,0)</f>
        <v>0.604361</v>
      </c>
      <c r="V93" t="str" s="3">
        <f>IF(T93&lt;0,"RUGI SETELAH FEE","OK")</f>
        <v>OK</v>
      </c>
    </row>
    <row r="94">
      <c r="A94" s="8">
        <v>93</v>
      </c>
      <c r="B94" s="5">
        <v>46292</v>
      </c>
      <c r="C94" s="8" t="s">
        <v>191</v>
      </c>
      <c r="D94" s="3" t="s">
        <v>284</v>
      </c>
      <c r="E94" s="3" t="s">
        <v>68</v>
      </c>
      <c r="F94" t="str" s="3">
        <f>VLOOKUP(E94,'Master Inventory'!$B$2:$L$26,2,FALSE)</f>
        <v>Eau de Parfum 50ml</v>
      </c>
      <c r="G94" s="2">
        <v>5</v>
      </c>
      <c r="H94" s="2">
        <v>235000</v>
      </c>
      <c r="I94" s="4">
        <v>0.61</v>
      </c>
      <c r="J94" s="2">
        <v>91600</v>
      </c>
      <c r="K94" s="2">
        <f>J94*G94</f>
        <v>458000</v>
      </c>
      <c r="L94" s="2">
        <f>VLOOKUP(E94,'Master Inventory'!$B$2:$L$26,5,FALSE)</f>
        <v>85000</v>
      </c>
      <c r="M94" s="2">
        <f>L94*G94</f>
        <v>425000</v>
      </c>
      <c r="N94" s="2">
        <f>K94-M94</f>
        <v>33000</v>
      </c>
      <c r="O94" s="4">
        <f>IFERROR(N94/K94,0)</f>
        <v>0.072052</v>
      </c>
      <c r="P94" t="str" s="3">
        <f>IF(J94&lt;L94,"BELOW COGS","OK")</f>
        <v>OK</v>
      </c>
      <c r="Q94" s="4">
        <v>0.06</v>
      </c>
      <c r="R94" s="2">
        <f>K94*Q94</f>
        <v>27480</v>
      </c>
      <c r="S94" s="2">
        <f>K94-R94</f>
        <v>430520</v>
      </c>
      <c r="T94" s="2">
        <f>S94-M94</f>
        <v>5520</v>
      </c>
      <c r="U94" s="4">
        <f>IFERROR(T94/S94,0)</f>
        <v>0.012822</v>
      </c>
      <c r="V94" t="str" s="3">
        <f>IF(T94&lt;0,"RUGI SETELAH FEE","OK")</f>
        <v>OK</v>
      </c>
    </row>
    <row r="95">
      <c r="A95" s="8">
        <v>94</v>
      </c>
      <c r="B95" s="5">
        <v>46292</v>
      </c>
      <c r="C95" s="8" t="s">
        <v>191</v>
      </c>
      <c r="D95" s="3" t="s">
        <v>285</v>
      </c>
      <c r="E95" s="3" t="s">
        <v>61</v>
      </c>
      <c r="F95" t="str" s="3">
        <f>VLOOKUP(E95,'Master Inventory'!$B$2:$L$26,2,FALSE)</f>
        <v>Body Scrub Coffee 200g</v>
      </c>
      <c r="G95" s="2">
        <v>4</v>
      </c>
      <c r="H95" s="2">
        <v>46000</v>
      </c>
      <c r="I95" s="4">
        <v>0.24</v>
      </c>
      <c r="J95" s="2">
        <v>35000</v>
      </c>
      <c r="K95" s="2">
        <f>J95*G95</f>
        <v>140000</v>
      </c>
      <c r="L95" s="2">
        <f>VLOOKUP(E95,'Master Inventory'!$B$2:$L$26,5,FALSE)</f>
        <v>17000</v>
      </c>
      <c r="M95" s="2">
        <f>L95*G95</f>
        <v>68000</v>
      </c>
      <c r="N95" s="2">
        <f>K95-M95</f>
        <v>72000</v>
      </c>
      <c r="O95" s="4">
        <f>IFERROR(N95/K95,0)</f>
        <v>0.514286</v>
      </c>
      <c r="P95" t="str" s="3">
        <f>IF(J95&lt;L95,"BELOW COGS","OK")</f>
        <v>OK</v>
      </c>
      <c r="Q95" s="4">
        <v>0.06</v>
      </c>
      <c r="R95" s="2">
        <f>K95*Q95</f>
        <v>8400</v>
      </c>
      <c r="S95" s="2">
        <f>K95-R95</f>
        <v>131600</v>
      </c>
      <c r="T95" s="2">
        <f>S95-M95</f>
        <v>63600</v>
      </c>
      <c r="U95" s="4">
        <f>IFERROR(T95/S95,0)</f>
        <v>0.483283</v>
      </c>
      <c r="V95" t="str" s="3">
        <f>IF(T95&lt;0,"RUGI SETELAH FEE","OK")</f>
        <v>OK</v>
      </c>
    </row>
    <row r="96">
      <c r="A96" s="8">
        <v>95</v>
      </c>
      <c r="B96" s="5">
        <v>46293</v>
      </c>
      <c r="C96" s="8" t="s">
        <v>191</v>
      </c>
      <c r="D96" s="3" t="s">
        <v>286</v>
      </c>
      <c r="E96" s="3" t="s">
        <v>68</v>
      </c>
      <c r="F96" t="str" s="3">
        <f>VLOOKUP(E96,'Master Inventory'!$B$2:$L$26,2,FALSE)</f>
        <v>Eau de Parfum 50ml</v>
      </c>
      <c r="G96" s="2">
        <v>4</v>
      </c>
      <c r="H96" s="2">
        <v>238500</v>
      </c>
      <c r="I96" s="4">
        <v>0.62</v>
      </c>
      <c r="J96" s="2">
        <v>90600</v>
      </c>
      <c r="K96" s="2">
        <f>J96*G96</f>
        <v>362400</v>
      </c>
      <c r="L96" s="2">
        <f>VLOOKUP(E96,'Master Inventory'!$B$2:$L$26,5,FALSE)</f>
        <v>85000</v>
      </c>
      <c r="M96" s="2">
        <f>L96*G96</f>
        <v>340000</v>
      </c>
      <c r="N96" s="2">
        <f>K96-M96</f>
        <v>22400</v>
      </c>
      <c r="O96" s="4">
        <f>IFERROR(N96/K96,0)</f>
        <v>0.06181</v>
      </c>
      <c r="P96" t="str" s="3">
        <f>IF(J96&lt;L96,"BELOW COGS","OK")</f>
        <v>OK</v>
      </c>
      <c r="Q96" s="4">
        <v>0.06</v>
      </c>
      <c r="R96" s="2">
        <f>K96*Q96</f>
        <v>21744</v>
      </c>
      <c r="S96" s="2">
        <f>K96-R96</f>
        <v>340656</v>
      </c>
      <c r="T96" s="2">
        <f>S96-M96</f>
        <v>656</v>
      </c>
      <c r="U96" s="4">
        <f>IFERROR(T96/S96,0)</f>
        <v>0.001926</v>
      </c>
      <c r="V96" t="str" s="3">
        <f>IF(T96&lt;0,"RUGI SETELAH FEE","OK")</f>
        <v>OK</v>
      </c>
    </row>
    <row r="97">
      <c r="A97" s="8">
        <v>96</v>
      </c>
      <c r="B97" s="5">
        <v>46293</v>
      </c>
      <c r="C97" s="8" t="s">
        <v>191</v>
      </c>
      <c r="D97" s="3" t="s">
        <v>287</v>
      </c>
      <c r="E97" s="3" t="s">
        <v>45</v>
      </c>
      <c r="F97" t="str" s="3">
        <f>VLOOKUP(E97,'Master Inventory'!$B$2:$L$26,2,FALSE)</f>
        <v>Makeup Setting Spray 100ml</v>
      </c>
      <c r="G97" s="2">
        <v>1</v>
      </c>
      <c r="H97" s="2">
        <v>67500</v>
      </c>
      <c r="I97" s="4">
        <v>0.06</v>
      </c>
      <c r="J97" s="2">
        <v>63400</v>
      </c>
      <c r="K97" s="2">
        <f>J97*G97</f>
        <v>63400</v>
      </c>
      <c r="L97" s="2">
        <f>VLOOKUP(E97,'Master Inventory'!$B$2:$L$26,5,FALSE)</f>
        <v>22000</v>
      </c>
      <c r="M97" s="2">
        <f>L97*G97</f>
        <v>22000</v>
      </c>
      <c r="N97" s="2">
        <f>K97-M97</f>
        <v>41400</v>
      </c>
      <c r="O97" s="4">
        <f>IFERROR(N97/K97,0)</f>
        <v>0.652997</v>
      </c>
      <c r="P97" t="str" s="3">
        <f>IF(J97&lt;L97,"BELOW COGS","OK")</f>
        <v>OK</v>
      </c>
      <c r="Q97" s="4">
        <v>0.06</v>
      </c>
      <c r="R97" s="2">
        <f>K97*Q97</f>
        <v>3804</v>
      </c>
      <c r="S97" s="2">
        <f>K97-R97</f>
        <v>59596</v>
      </c>
      <c r="T97" s="2">
        <f>S97-M97</f>
        <v>37596</v>
      </c>
      <c r="U97" s="4">
        <f>IFERROR(T97/S97,0)</f>
        <v>0.630848</v>
      </c>
      <c r="V97" t="str" s="3">
        <f>IF(T97&lt;0,"RUGI SETELAH FEE","OK")</f>
        <v>OK</v>
      </c>
    </row>
    <row r="98">
      <c r="A98" s="8">
        <v>97</v>
      </c>
      <c r="B98" s="5">
        <v>46293</v>
      </c>
      <c r="C98" s="8" t="s">
        <v>191</v>
      </c>
      <c r="D98" s="3" t="s">
        <v>288</v>
      </c>
      <c r="E98" s="3" t="s">
        <v>54</v>
      </c>
      <c r="F98" t="str" s="3">
        <f>VLOOKUP(E98,'Master Inventory'!$B$2:$L$26,2,FALSE)</f>
        <v>Hair Mist Perfume 100ml</v>
      </c>
      <c r="G98" s="2">
        <v>5</v>
      </c>
      <c r="H98" s="2">
        <v>64500</v>
      </c>
      <c r="I98" s="4">
        <v>0.05</v>
      </c>
      <c r="J98" s="2">
        <v>61300</v>
      </c>
      <c r="K98" s="2">
        <f>J98*G98</f>
        <v>306500</v>
      </c>
      <c r="L98" s="2">
        <f>VLOOKUP(E98,'Master Inventory'!$B$2:$L$26,5,FALSE)</f>
        <v>20000</v>
      </c>
      <c r="M98" s="2">
        <f>L98*G98</f>
        <v>100000</v>
      </c>
      <c r="N98" s="2">
        <f>K98-M98</f>
        <v>206500</v>
      </c>
      <c r="O98" s="4">
        <f>IFERROR(N98/K98,0)</f>
        <v>0.673736</v>
      </c>
      <c r="P98" t="str" s="3">
        <f>IF(J98&lt;L98,"BELOW COGS","OK")</f>
        <v>OK</v>
      </c>
      <c r="Q98" s="4">
        <v>0.06</v>
      </c>
      <c r="R98" s="2">
        <f>K98*Q98</f>
        <v>18390</v>
      </c>
      <c r="S98" s="2">
        <f>K98-R98</f>
        <v>288110</v>
      </c>
      <c r="T98" s="2">
        <f>S98-M98</f>
        <v>188110</v>
      </c>
      <c r="U98" s="4">
        <f>IFERROR(T98/S98,0)</f>
        <v>0.65291</v>
      </c>
      <c r="V98" t="str" s="3">
        <f>IF(T98&lt;0,"RUGI SETELAH FEE","OK")</f>
        <v>OK</v>
      </c>
    </row>
    <row r="99">
      <c r="A99" s="8">
        <v>98</v>
      </c>
      <c r="B99" s="5">
        <v>46293</v>
      </c>
      <c r="C99" s="8" t="s">
        <v>191</v>
      </c>
      <c r="D99" s="3" t="s">
        <v>289</v>
      </c>
      <c r="E99" s="3" t="s">
        <v>52</v>
      </c>
      <c r="F99" t="str" s="3">
        <f>VLOOKUP(E99,'Master Inventory'!$B$2:$L$26,2,FALSE)</f>
        <v>Conditioner Repair 300ml</v>
      </c>
      <c r="G99" s="2">
        <v>4</v>
      </c>
      <c r="H99" s="2">
        <v>48000</v>
      </c>
      <c r="I99" s="4">
        <v>0.63</v>
      </c>
      <c r="J99" s="2">
        <v>17800</v>
      </c>
      <c r="K99" s="2">
        <f>J99*G99</f>
        <v>71200</v>
      </c>
      <c r="L99" s="2">
        <f>VLOOKUP(E99,'Master Inventory'!$B$2:$L$26,5,FALSE)</f>
        <v>18000</v>
      </c>
      <c r="M99" s="2">
        <f>L99*G99</f>
        <v>72000</v>
      </c>
      <c r="N99" s="2">
        <f>K99-M99</f>
        <v>-800</v>
      </c>
      <c r="O99" s="4">
        <f>IFERROR(N99/K99,0)</f>
        <v>-0.011236</v>
      </c>
      <c r="P99" t="str" s="3">
        <f>IF(J99&lt;L99,"BELOW COGS","OK")</f>
        <v>BELOW COGS</v>
      </c>
      <c r="Q99" s="4">
        <v>0.06</v>
      </c>
      <c r="R99" s="2">
        <f>K99*Q99</f>
        <v>4272</v>
      </c>
      <c r="S99" s="2">
        <f>K99-R99</f>
        <v>66928</v>
      </c>
      <c r="T99" s="2">
        <f>S99-M99</f>
        <v>-5072</v>
      </c>
      <c r="U99" s="4">
        <f>IFERROR(T99/S99,0)</f>
        <v>-0.075783</v>
      </c>
      <c r="V99" t="str" s="3">
        <f>IF(T99&lt;0,"RUGI SETELAH FEE","OK")</f>
        <v>RUGI SETELAH FEE</v>
      </c>
    </row>
    <row r="100">
      <c r="A100" s="8">
        <v>99</v>
      </c>
      <c r="B100" s="5">
        <v>46293</v>
      </c>
      <c r="C100" s="8" t="s">
        <v>191</v>
      </c>
      <c r="D100" s="3" t="s">
        <v>290</v>
      </c>
      <c r="E100" s="3" t="s">
        <v>37</v>
      </c>
      <c r="F100" t="str" s="3">
        <f>VLOOKUP(E100,'Master Inventory'!$B$2:$L$26,2,FALSE)</f>
        <v>Cushion Foundation SPF35</v>
      </c>
      <c r="G100" s="2">
        <v>6</v>
      </c>
      <c r="H100" s="2">
        <v>144500</v>
      </c>
      <c r="I100" s="4">
        <v>0.16</v>
      </c>
      <c r="J100" s="2">
        <v>121400</v>
      </c>
      <c r="K100" s="2">
        <f>J100*G100</f>
        <v>728400</v>
      </c>
      <c r="L100" s="2">
        <f>VLOOKUP(E100,'Master Inventory'!$B$2:$L$26,5,FALSE)</f>
        <v>45000</v>
      </c>
      <c r="M100" s="2">
        <f>L100*G100</f>
        <v>270000</v>
      </c>
      <c r="N100" s="2">
        <f>K100-M100</f>
        <v>458400</v>
      </c>
      <c r="O100" s="4">
        <f>IFERROR(N100/K100,0)</f>
        <v>0.629325</v>
      </c>
      <c r="P100" t="str" s="3">
        <f>IF(J100&lt;L100,"BELOW COGS","OK")</f>
        <v>OK</v>
      </c>
      <c r="Q100" s="4">
        <v>0.06</v>
      </c>
      <c r="R100" s="2">
        <f>K100*Q100</f>
        <v>43704</v>
      </c>
      <c r="S100" s="2">
        <f>K100-R100</f>
        <v>684696</v>
      </c>
      <c r="T100" s="2">
        <f>S100-M100</f>
        <v>414696</v>
      </c>
      <c r="U100" s="4">
        <f>IFERROR(T100/S100,0)</f>
        <v>0.605664</v>
      </c>
      <c r="V100" t="str" s="3">
        <f>IF(T100&lt;0,"RUGI SETELAH FEE","OK")</f>
        <v>OK</v>
      </c>
    </row>
    <row r="101">
      <c r="A101" s="8">
        <v>100</v>
      </c>
      <c r="B101" s="5">
        <v>46293</v>
      </c>
      <c r="C101" s="8" t="s">
        <v>191</v>
      </c>
      <c r="D101" s="3" t="s">
        <v>291</v>
      </c>
      <c r="E101" s="3" t="s">
        <v>52</v>
      </c>
      <c r="F101" t="str" s="3">
        <f>VLOOKUP(E101,'Master Inventory'!$B$2:$L$26,2,FALSE)</f>
        <v>Conditioner Repair 300ml</v>
      </c>
      <c r="G101" s="2">
        <v>3</v>
      </c>
      <c r="H101" s="2">
        <v>45000</v>
      </c>
      <c r="I101" s="4">
        <v>0.15</v>
      </c>
      <c r="J101" s="2">
        <v>38200</v>
      </c>
      <c r="K101" s="2">
        <f>J101*G101</f>
        <v>114600</v>
      </c>
      <c r="L101" s="2">
        <f>VLOOKUP(E101,'Master Inventory'!$B$2:$L$26,5,FALSE)</f>
        <v>18000</v>
      </c>
      <c r="M101" s="2">
        <f>L101*G101</f>
        <v>54000</v>
      </c>
      <c r="N101" s="2">
        <f>K101-M101</f>
        <v>60600</v>
      </c>
      <c r="O101" s="4">
        <f>IFERROR(N101/K101,0)</f>
        <v>0.528796</v>
      </c>
      <c r="P101" t="str" s="3">
        <f>IF(J101&lt;L101,"BELOW COGS","OK")</f>
        <v>OK</v>
      </c>
      <c r="Q101" s="4">
        <v>0.06</v>
      </c>
      <c r="R101" s="2">
        <f>K101*Q101</f>
        <v>6876</v>
      </c>
      <c r="S101" s="2">
        <f>K101-R101</f>
        <v>107724</v>
      </c>
      <c r="T101" s="2">
        <f>S101-M101</f>
        <v>53724</v>
      </c>
      <c r="U101" s="4">
        <f>IFERROR(T101/S101,0)</f>
        <v>0.498719</v>
      </c>
      <c r="V101" t="str" s="3">
        <f>IF(T101&lt;0,"RUGI SETELAH FEE","OK")</f>
        <v>OK</v>
      </c>
    </row>
    <row r="102">
      <c r="A102" s="7" t="s">
        <v>189</v>
      </c>
      <c r="B102" s="7" t="s">
        <v>189</v>
      </c>
      <c r="C102" s="7" t="s">
        <v>189</v>
      </c>
      <c r="D102" s="7" t="s">
        <v>189</v>
      </c>
      <c r="E102" s="7" t="s">
        <v>189</v>
      </c>
      <c r="F102" s="7" t="s">
        <v>190</v>
      </c>
      <c r="G102" s="6">
        <f>SUM(G2:G101)</f>
        <v>337</v>
      </c>
      <c r="H102" s="7" t="s">
        <v>189</v>
      </c>
      <c r="I102" s="7" t="s">
        <v>189</v>
      </c>
      <c r="J102" s="7" t="s">
        <v>189</v>
      </c>
      <c r="K102" s="6">
        <f>SUM(K2:K101)</f>
        <v>21024300</v>
      </c>
      <c r="L102" s="7" t="s">
        <v>189</v>
      </c>
      <c r="M102" s="6">
        <f>SUM(M2:M101)</f>
        <v>10556000</v>
      </c>
      <c r="N102" s="6">
        <f>SUM(N2:N101)</f>
        <v>10468300</v>
      </c>
      <c r="O102" s="12">
        <f>IFERROR(N102/K102,0)</f>
        <v>0.497914</v>
      </c>
      <c r="P102" t="str" s="7">
        <f>COUNTIF(P2:P101,"BELOW COGS")&amp;" transaksi"</f>
        <v>19 transaksi</v>
      </c>
      <c r="Q102" s="7" t="s">
        <v>189</v>
      </c>
      <c r="R102" s="6">
        <f>SUM(R2:R101)</f>
        <v>1261458</v>
      </c>
      <c r="S102" s="6">
        <f>SUM(S2:S101)</f>
        <v>19762842</v>
      </c>
      <c r="T102" s="6">
        <f>SUM(T2:T101)</f>
        <v>9206842</v>
      </c>
      <c r="U102" s="12">
        <f>IFERROR(T102/S102,0)</f>
        <v>0.465866</v>
      </c>
      <c r="V102" t="str" s="7">
        <f>COUNTIF(V2:V101,"RUGI SETELAH FEE")&amp;" transaksi"</f>
        <v>22 transaksi</v>
      </c>
    </row>
  </sheetData>
  <autoFilter ref="A1:V101"/>
  <conditionalFormatting sqref="P2:P101">
    <cfRule type="containsText" dxfId="0" priority="1" operator="containsText" text="BELOW COGS">
      <formula>NOT(ISERROR(SEARCH("BELOW COGS",P2)))</formula>
    </cfRule>
  </conditionalFormatting>
  <conditionalFormatting sqref="V2:V101">
    <cfRule type="containsText" dxfId="3" priority="2" operator="containsText" text="RUGI SETELAH FEE">
      <formula>NOT(ISERROR(SEARCH("RUGI SETELAH FEE",V2)))</formula>
    </cfRule>
  </conditionalFormatting>
</worksheet>
</file>

<file path=xl/worksheets/sheet4.xml><?xml version="1.0" encoding="utf-8"?>
<worksheet xmlns="http://schemas.openxmlformats.org/spreadsheetml/2006/main">
  <dimension ref="A1:I26"/>
  <sheetViews>
    <sheetView tabSelected="0" workbookViewId="0">
      <pane ySplit="1" topLeftCell="A2" activePane="bottomLeft" state="frozen"/>
    </sheetView>
  </sheetViews>
  <sheetFormatPr defaultRowHeight="15"/>
  <cols>
    <col min="1" max="1" width="5" customWidth="1"/>
    <col min="2" max="2" width="10" customWidth="1"/>
    <col min="3" max="3" width="32" customWidth="1"/>
    <col min="4" max="4" width="14" customWidth="1"/>
    <col min="5" max="5" width="16" customWidth="1"/>
    <col min="6" max="6" width="16" customWidth="1"/>
    <col min="7" max="7" width="14" customWidth="1"/>
    <col min="8" max="8" width="14" customWidth="1"/>
    <col min="9" max="9" width="16" customWidth="1"/>
  </cols>
  <sheetData>
    <row r="1">
      <c r="A1" s="1" t="s">
        <v>0</v>
      </c>
      <c r="B1" s="1" t="s">
        <v>1</v>
      </c>
      <c r="C1" s="1" t="s">
        <v>2</v>
      </c>
      <c r="D1" s="1" t="s">
        <v>9</v>
      </c>
      <c r="E1" s="1" t="s">
        <v>292</v>
      </c>
      <c r="F1" s="1" t="s">
        <v>293</v>
      </c>
      <c r="G1" s="1" t="s">
        <v>294</v>
      </c>
      <c r="H1" s="1" t="s">
        <v>295</v>
      </c>
      <c r="I1" s="1" t="s">
        <v>296</v>
      </c>
    </row>
    <row r="2">
      <c r="A2" s="8">
        <v>1</v>
      </c>
      <c r="B2" s="3" t="s">
        <v>12</v>
      </c>
      <c r="C2" t="str" s="3">
        <f>'Master Inventory'!C2</f>
        <v>Facial Wash Gentle Foam 100ml</v>
      </c>
      <c r="D2" s="2">
        <f>'Master Inventory'!J2</f>
        <v>250</v>
      </c>
      <c r="E2" s="2">
        <f>SUMIF('Sales - TikTok'!$E$2:$E$101,B2,'Sales - TikTok'!$G$2:$G$101)</f>
        <v>2</v>
      </c>
      <c r="F2" s="2">
        <f>SUMIF('Sales - Shopee'!$E$2:$E$101,B2,'Sales - Shopee'!$G$2:$G$101)</f>
        <v>23</v>
      </c>
      <c r="G2" s="2">
        <f>E2+F2</f>
        <v>25</v>
      </c>
      <c r="H2" s="2">
        <f>D2-G2</f>
        <v>225</v>
      </c>
      <c r="I2" t="str" s="3">
        <f>IF(H2&lt;=0,"OUT OF STOCK",IF(H2&lt;='Master Inventory'!K2,"LOW STOCK","AMAN"))</f>
        <v>AMAN</v>
      </c>
    </row>
    <row r="3">
      <c r="A3" s="8">
        <v>2</v>
      </c>
      <c r="B3" s="3" t="s">
        <v>17</v>
      </c>
      <c r="C3" t="str" s="3">
        <f>'Master Inventory'!C3</f>
        <v>Toner Hydrating Rose 150ml</v>
      </c>
      <c r="D3" s="2">
        <f>'Master Inventory'!J3</f>
        <v>180</v>
      </c>
      <c r="E3" s="2">
        <f>SUMIF('Sales - TikTok'!$E$2:$E$101,B3,'Sales - TikTok'!$G$2:$G$101)</f>
        <v>7</v>
      </c>
      <c r="F3" s="2">
        <f>SUMIF('Sales - Shopee'!$E$2:$E$101,B3,'Sales - Shopee'!$G$2:$G$101)</f>
        <v>12</v>
      </c>
      <c r="G3" s="2">
        <f>E3+F3</f>
        <v>19</v>
      </c>
      <c r="H3" s="2">
        <f>D3-G3</f>
        <v>161</v>
      </c>
      <c r="I3" t="str" s="3">
        <f>IF(H3&lt;=0,"OUT OF STOCK",IF(H3&lt;='Master Inventory'!K3,"LOW STOCK","AMAN"))</f>
        <v>AMAN</v>
      </c>
    </row>
    <row r="4">
      <c r="A4" s="8">
        <v>3</v>
      </c>
      <c r="B4" s="3" t="s">
        <v>19</v>
      </c>
      <c r="C4" t="str" s="3">
        <f>'Master Inventory'!C4</f>
        <v>Serum Vitamin C 20ml</v>
      </c>
      <c r="D4" s="2">
        <f>'Master Inventory'!J4</f>
        <v>150</v>
      </c>
      <c r="E4" s="2">
        <f>SUMIF('Sales - TikTok'!$E$2:$E$101,B4,'Sales - TikTok'!$G$2:$G$101)</f>
        <v>25</v>
      </c>
      <c r="F4" s="2">
        <f>SUMIF('Sales - Shopee'!$E$2:$E$101,B4,'Sales - Shopee'!$G$2:$G$101)</f>
        <v>2</v>
      </c>
      <c r="G4" s="2">
        <f>E4+F4</f>
        <v>27</v>
      </c>
      <c r="H4" s="2">
        <f>D4-G4</f>
        <v>123</v>
      </c>
      <c r="I4" t="str" s="3">
        <f>IF(H4&lt;=0,"OUT OF STOCK",IF(H4&lt;='Master Inventory'!K4,"LOW STOCK","AMAN"))</f>
        <v>AMAN</v>
      </c>
    </row>
    <row r="5">
      <c r="A5" s="8">
        <v>4</v>
      </c>
      <c r="B5" s="3" t="s">
        <v>21</v>
      </c>
      <c r="C5" t="str" s="3">
        <f>'Master Inventory'!C5</f>
        <v>Serum Niacinamide 10% 20ml</v>
      </c>
      <c r="D5" s="2">
        <f>'Master Inventory'!J5</f>
        <v>200</v>
      </c>
      <c r="E5" s="2">
        <f>SUMIF('Sales - TikTok'!$E$2:$E$101,B5,'Sales - TikTok'!$G$2:$G$101)</f>
        <v>12</v>
      </c>
      <c r="F5" s="2">
        <f>SUMIF('Sales - Shopee'!$E$2:$E$101,B5,'Sales - Shopee'!$G$2:$G$101)</f>
        <v>12</v>
      </c>
      <c r="G5" s="2">
        <f>E5+F5</f>
        <v>24</v>
      </c>
      <c r="H5" s="2">
        <f>D5-G5</f>
        <v>176</v>
      </c>
      <c r="I5" t="str" s="3">
        <f>IF(H5&lt;=0,"OUT OF STOCK",IF(H5&lt;='Master Inventory'!K5,"LOW STOCK","AMAN"))</f>
        <v>AMAN</v>
      </c>
    </row>
    <row r="6">
      <c r="A6" s="8">
        <v>5</v>
      </c>
      <c r="B6" s="3" t="s">
        <v>23</v>
      </c>
      <c r="C6" t="str" s="3">
        <f>'Master Inventory'!C6</f>
        <v>Moisturizer Gel Cream 40g</v>
      </c>
      <c r="D6" s="2">
        <f>'Master Inventory'!J6</f>
        <v>160</v>
      </c>
      <c r="E6" s="2">
        <f>SUMIF('Sales - TikTok'!$E$2:$E$101,B6,'Sales - TikTok'!$G$2:$G$101)</f>
        <v>18</v>
      </c>
      <c r="F6" s="2">
        <f>SUMIF('Sales - Shopee'!$E$2:$E$101,B6,'Sales - Shopee'!$G$2:$G$101)</f>
        <v>10</v>
      </c>
      <c r="G6" s="2">
        <f>E6+F6</f>
        <v>28</v>
      </c>
      <c r="H6" s="2">
        <f>D6-G6</f>
        <v>132</v>
      </c>
      <c r="I6" t="str" s="3">
        <f>IF(H6&lt;=0,"OUT OF STOCK",IF(H6&lt;='Master Inventory'!K6,"LOW STOCK","AMAN"))</f>
        <v>AMAN</v>
      </c>
    </row>
    <row r="7">
      <c r="A7" s="8">
        <v>6</v>
      </c>
      <c r="B7" s="3" t="s">
        <v>26</v>
      </c>
      <c r="C7" t="str" s="3">
        <f>'Master Inventory'!C7</f>
        <v>Sunscreen SPF50 PA+++ 40ml</v>
      </c>
      <c r="D7" s="2">
        <f>'Master Inventory'!J7</f>
        <v>300</v>
      </c>
      <c r="E7" s="2">
        <f>SUMIF('Sales - TikTok'!$E$2:$E$101,B7,'Sales - TikTok'!$G$2:$G$101)</f>
        <v>17</v>
      </c>
      <c r="F7" s="2">
        <f>SUMIF('Sales - Shopee'!$E$2:$E$101,B7,'Sales - Shopee'!$G$2:$G$101)</f>
        <v>6</v>
      </c>
      <c r="G7" s="2">
        <f>E7+F7</f>
        <v>23</v>
      </c>
      <c r="H7" s="2">
        <f>D7-G7</f>
        <v>277</v>
      </c>
      <c r="I7" t="str" s="3">
        <f>IF(H7&lt;=0,"OUT OF STOCK",IF(H7&lt;='Master Inventory'!K7,"LOW STOCK","AMAN"))</f>
        <v>AMAN</v>
      </c>
    </row>
    <row r="8">
      <c r="A8" s="8">
        <v>7</v>
      </c>
      <c r="B8" s="3" t="s">
        <v>28</v>
      </c>
      <c r="C8" t="str" s="3">
        <f>'Master Inventory'!C8</f>
        <v>Eye Cream Anti Aging 15ml</v>
      </c>
      <c r="D8" s="2">
        <f>'Master Inventory'!J8</f>
        <v>30</v>
      </c>
      <c r="E8" s="2">
        <f>SUMIF('Sales - TikTok'!$E$2:$E$101,B8,'Sales - TikTok'!$G$2:$G$101)</f>
        <v>8</v>
      </c>
      <c r="F8" s="2">
        <f>SUMIF('Sales - Shopee'!$E$2:$E$101,B8,'Sales - Shopee'!$G$2:$G$101)</f>
        <v>8</v>
      </c>
      <c r="G8" s="2">
        <f>E8+F8</f>
        <v>16</v>
      </c>
      <c r="H8" s="2">
        <f>D8-G8</f>
        <v>14</v>
      </c>
      <c r="I8" t="str" s="3">
        <f>IF(H8&lt;=0,"OUT OF STOCK",IF(H8&lt;='Master Inventory'!K8,"LOW STOCK","AMAN"))</f>
        <v>LOW STOCK</v>
      </c>
    </row>
    <row r="9">
      <c r="A9" s="8">
        <v>8</v>
      </c>
      <c r="B9" s="3" t="s">
        <v>30</v>
      </c>
      <c r="C9" t="str" s="3">
        <f>'Master Inventory'!C9</f>
        <v>Sheet Mask Brightening (Box 5pcs)</v>
      </c>
      <c r="D9" s="2">
        <f>'Master Inventory'!J9</f>
        <v>220</v>
      </c>
      <c r="E9" s="2">
        <f>SUMIF('Sales - TikTok'!$E$2:$E$101,B9,'Sales - TikTok'!$G$2:$G$101)</f>
        <v>7</v>
      </c>
      <c r="F9" s="2">
        <f>SUMIF('Sales - Shopee'!$E$2:$E$101,B9,'Sales - Shopee'!$G$2:$G$101)</f>
        <v>10</v>
      </c>
      <c r="G9" s="2">
        <f>E9+F9</f>
        <v>17</v>
      </c>
      <c r="H9" s="2">
        <f>D9-G9</f>
        <v>203</v>
      </c>
      <c r="I9" t="str" s="3">
        <f>IF(H9&lt;=0,"OUT OF STOCK",IF(H9&lt;='Master Inventory'!K9,"LOW STOCK","AMAN"))</f>
        <v>AMAN</v>
      </c>
    </row>
    <row r="10">
      <c r="A10" s="8">
        <v>9</v>
      </c>
      <c r="B10" s="3" t="s">
        <v>32</v>
      </c>
      <c r="C10" t="str" s="3">
        <f>'Master Inventory'!C10</f>
        <v>Lip Tint Velvet Matte</v>
      </c>
      <c r="D10" s="2">
        <f>'Master Inventory'!J10</f>
        <v>280</v>
      </c>
      <c r="E10" s="2">
        <f>SUMIF('Sales - TikTok'!$E$2:$E$101,B10,'Sales - TikTok'!$G$2:$G$101)</f>
        <v>11</v>
      </c>
      <c r="F10" s="2">
        <f>SUMIF('Sales - Shopee'!$E$2:$E$101,B10,'Sales - Shopee'!$G$2:$G$101)</f>
        <v>16</v>
      </c>
      <c r="G10" s="2">
        <f>E10+F10</f>
        <v>27</v>
      </c>
      <c r="H10" s="2">
        <f>D10-G10</f>
        <v>253</v>
      </c>
      <c r="I10" t="str" s="3">
        <f>IF(H10&lt;=0,"OUT OF STOCK",IF(H10&lt;='Master Inventory'!K10,"LOW STOCK","AMAN"))</f>
        <v>AMAN</v>
      </c>
    </row>
    <row r="11">
      <c r="A11" s="8">
        <v>10</v>
      </c>
      <c r="B11" s="3" t="s">
        <v>35</v>
      </c>
      <c r="C11" t="str" s="3">
        <f>'Master Inventory'!C11</f>
        <v>Lip Cream Matte Long Lasting</v>
      </c>
      <c r="D11" s="2">
        <f>'Master Inventory'!J11</f>
        <v>260</v>
      </c>
      <c r="E11" s="2">
        <f>SUMIF('Sales - TikTok'!$E$2:$E$101,B11,'Sales - TikTok'!$G$2:$G$101)</f>
        <v>13</v>
      </c>
      <c r="F11" s="2">
        <f>SUMIF('Sales - Shopee'!$E$2:$E$101,B11,'Sales - Shopee'!$G$2:$G$101)</f>
        <v>23</v>
      </c>
      <c r="G11" s="2">
        <f>E11+F11</f>
        <v>36</v>
      </c>
      <c r="H11" s="2">
        <f>D11-G11</f>
        <v>224</v>
      </c>
      <c r="I11" t="str" s="3">
        <f>IF(H11&lt;=0,"OUT OF STOCK",IF(H11&lt;='Master Inventory'!K11,"LOW STOCK","AMAN"))</f>
        <v>AMAN</v>
      </c>
    </row>
    <row r="12">
      <c r="A12" s="8">
        <v>11</v>
      </c>
      <c r="B12" s="3" t="s">
        <v>37</v>
      </c>
      <c r="C12" t="str" s="3">
        <f>'Master Inventory'!C12</f>
        <v>Cushion Foundation SPF35</v>
      </c>
      <c r="D12" s="2">
        <f>'Master Inventory'!J12</f>
        <v>140</v>
      </c>
      <c r="E12" s="2">
        <f>SUMIF('Sales - TikTok'!$E$2:$E$101,B12,'Sales - TikTok'!$G$2:$G$101)</f>
        <v>16</v>
      </c>
      <c r="F12" s="2">
        <f>SUMIF('Sales - Shopee'!$E$2:$E$101,B12,'Sales - Shopee'!$G$2:$G$101)</f>
        <v>15</v>
      </c>
      <c r="G12" s="2">
        <f>E12+F12</f>
        <v>31</v>
      </c>
      <c r="H12" s="2">
        <f>D12-G12</f>
        <v>109</v>
      </c>
      <c r="I12" t="str" s="3">
        <f>IF(H12&lt;=0,"OUT OF STOCK",IF(H12&lt;='Master Inventory'!K12,"LOW STOCK","AMAN"))</f>
        <v>AMAN</v>
      </c>
    </row>
    <row r="13">
      <c r="A13" s="8">
        <v>12</v>
      </c>
      <c r="B13" s="3" t="s">
        <v>39</v>
      </c>
      <c r="C13" t="str" s="3">
        <f>'Master Inventory'!C13</f>
        <v>Compact Powder Matte Finish</v>
      </c>
      <c r="D13" s="2">
        <f>'Master Inventory'!J13</f>
        <v>130</v>
      </c>
      <c r="E13" s="2">
        <f>SUMIF('Sales - TikTok'!$E$2:$E$101,B13,'Sales - TikTok'!$G$2:$G$101)</f>
        <v>2</v>
      </c>
      <c r="F13" s="2">
        <f>SUMIF('Sales - Shopee'!$E$2:$E$101,B13,'Sales - Shopee'!$G$2:$G$101)</f>
        <v>5</v>
      </c>
      <c r="G13" s="2">
        <f>E13+F13</f>
        <v>7</v>
      </c>
      <c r="H13" s="2">
        <f>D13-G13</f>
        <v>123</v>
      </c>
      <c r="I13" t="str" s="3">
        <f>IF(H13&lt;=0,"OUT OF STOCK",IF(H13&lt;='Master Inventory'!K13,"LOW STOCK","AMAN"))</f>
        <v>AMAN</v>
      </c>
    </row>
    <row r="14">
      <c r="A14" s="8">
        <v>13</v>
      </c>
      <c r="B14" s="3" t="s">
        <v>41</v>
      </c>
      <c r="C14" t="str" s="3">
        <f>'Master Inventory'!C14</f>
        <v>Eyebrow Pencil Waterproof</v>
      </c>
      <c r="D14" s="2">
        <f>'Master Inventory'!J14</f>
        <v>200</v>
      </c>
      <c r="E14" s="2">
        <f>SUMIF('Sales - TikTok'!$E$2:$E$101,B14,'Sales - TikTok'!$G$2:$G$101)</f>
        <v>1</v>
      </c>
      <c r="F14" s="2">
        <f>SUMIF('Sales - Shopee'!$E$2:$E$101,B14,'Sales - Shopee'!$G$2:$G$101)</f>
        <v>4</v>
      </c>
      <c r="G14" s="2">
        <f>E14+F14</f>
        <v>5</v>
      </c>
      <c r="H14" s="2">
        <f>D14-G14</f>
        <v>195</v>
      </c>
      <c r="I14" t="str" s="3">
        <f>IF(H14&lt;=0,"OUT OF STOCK",IF(H14&lt;='Master Inventory'!K14,"LOW STOCK","AMAN"))</f>
        <v>AMAN</v>
      </c>
    </row>
    <row r="15">
      <c r="A15" s="8">
        <v>14</v>
      </c>
      <c r="B15" s="3" t="s">
        <v>43</v>
      </c>
      <c r="C15" t="str" s="3">
        <f>'Master Inventory'!C15</f>
        <v>Mascara Volume &amp; Curl</v>
      </c>
      <c r="D15" s="2">
        <f>'Master Inventory'!J15</f>
        <v>170</v>
      </c>
      <c r="E15" s="2">
        <f>SUMIF('Sales - TikTok'!$E$2:$E$101,B15,'Sales - TikTok'!$G$2:$G$101)</f>
        <v>10</v>
      </c>
      <c r="F15" s="2">
        <f>SUMIF('Sales - Shopee'!$E$2:$E$101,B15,'Sales - Shopee'!$G$2:$G$101)</f>
        <v>12</v>
      </c>
      <c r="G15" s="2">
        <f>E15+F15</f>
        <v>22</v>
      </c>
      <c r="H15" s="2">
        <f>D15-G15</f>
        <v>148</v>
      </c>
      <c r="I15" t="str" s="3">
        <f>IF(H15&lt;=0,"OUT OF STOCK",IF(H15&lt;='Master Inventory'!K15,"LOW STOCK","AMAN"))</f>
        <v>AMAN</v>
      </c>
    </row>
    <row r="16">
      <c r="A16" s="8">
        <v>15</v>
      </c>
      <c r="B16" s="3" t="s">
        <v>45</v>
      </c>
      <c r="C16" t="str" s="3">
        <f>'Master Inventory'!C16</f>
        <v>Makeup Setting Spray 100ml</v>
      </c>
      <c r="D16" s="2">
        <f>'Master Inventory'!J16</f>
        <v>110</v>
      </c>
      <c r="E16" s="2">
        <f>SUMIF('Sales - TikTok'!$E$2:$E$101,B16,'Sales - TikTok'!$G$2:$G$101)</f>
        <v>20</v>
      </c>
      <c r="F16" s="2">
        <f>SUMIF('Sales - Shopee'!$E$2:$E$101,B16,'Sales - Shopee'!$G$2:$G$101)</f>
        <v>13</v>
      </c>
      <c r="G16" s="2">
        <f>E16+F16</f>
        <v>33</v>
      </c>
      <c r="H16" s="2">
        <f>D16-G16</f>
        <v>77</v>
      </c>
      <c r="I16" t="str" s="3">
        <f>IF(H16&lt;=0,"OUT OF STOCK",IF(H16&lt;='Master Inventory'!K16,"LOW STOCK","AMAN"))</f>
        <v>AMAN</v>
      </c>
    </row>
    <row r="17">
      <c r="A17" s="8">
        <v>16</v>
      </c>
      <c r="B17" s="3" t="s">
        <v>47</v>
      </c>
      <c r="C17" t="str" s="3">
        <f>'Master Inventory'!C17</f>
        <v>Hair Serum Anti Frizz 60ml</v>
      </c>
      <c r="D17" s="2">
        <f>'Master Inventory'!J17</f>
        <v>150</v>
      </c>
      <c r="E17" s="2">
        <f>SUMIF('Sales - TikTok'!$E$2:$E$101,B17,'Sales - TikTok'!$G$2:$G$101)</f>
        <v>0</v>
      </c>
      <c r="F17" s="2">
        <f>SUMIF('Sales - Shopee'!$E$2:$E$101,B17,'Sales - Shopee'!$G$2:$G$101)</f>
        <v>27</v>
      </c>
      <c r="G17" s="2">
        <f>E17+F17</f>
        <v>27</v>
      </c>
      <c r="H17" s="2">
        <f>D17-G17</f>
        <v>123</v>
      </c>
      <c r="I17" t="str" s="3">
        <f>IF(H17&lt;=0,"OUT OF STOCK",IF(H17&lt;='Master Inventory'!K17,"LOW STOCK","AMAN"))</f>
        <v>AMAN</v>
      </c>
    </row>
    <row r="18">
      <c r="A18" s="8">
        <v>17</v>
      </c>
      <c r="B18" s="3" t="s">
        <v>50</v>
      </c>
      <c r="C18" t="str" s="3">
        <f>'Master Inventory'!C18</f>
        <v>Shampoo Anti Hairfall 300ml</v>
      </c>
      <c r="D18" s="2">
        <f>'Master Inventory'!J18</f>
        <v>240</v>
      </c>
      <c r="E18" s="2">
        <f>SUMIF('Sales - TikTok'!$E$2:$E$101,B18,'Sales - TikTok'!$G$2:$G$101)</f>
        <v>23</v>
      </c>
      <c r="F18" s="2">
        <f>SUMIF('Sales - Shopee'!$E$2:$E$101,B18,'Sales - Shopee'!$G$2:$G$101)</f>
        <v>0</v>
      </c>
      <c r="G18" s="2">
        <f>E18+F18</f>
        <v>23</v>
      </c>
      <c r="H18" s="2">
        <f>D18-G18</f>
        <v>217</v>
      </c>
      <c r="I18" t="str" s="3">
        <f>IF(H18&lt;=0,"OUT OF STOCK",IF(H18&lt;='Master Inventory'!K18,"LOW STOCK","AMAN"))</f>
        <v>AMAN</v>
      </c>
    </row>
    <row r="19">
      <c r="A19" s="8">
        <v>18</v>
      </c>
      <c r="B19" s="3" t="s">
        <v>52</v>
      </c>
      <c r="C19" t="str" s="3">
        <f>'Master Inventory'!C19</f>
        <v>Conditioner Repair 300ml</v>
      </c>
      <c r="D19" s="2">
        <f>'Master Inventory'!J19</f>
        <v>210</v>
      </c>
      <c r="E19" s="2">
        <f>SUMIF('Sales - TikTok'!$E$2:$E$101,B19,'Sales - TikTok'!$G$2:$G$101)</f>
        <v>14</v>
      </c>
      <c r="F19" s="2">
        <f>SUMIF('Sales - Shopee'!$E$2:$E$101,B19,'Sales - Shopee'!$G$2:$G$101)</f>
        <v>13</v>
      </c>
      <c r="G19" s="2">
        <f>E19+F19</f>
        <v>27</v>
      </c>
      <c r="H19" s="2">
        <f>D19-G19</f>
        <v>183</v>
      </c>
      <c r="I19" t="str" s="3">
        <f>IF(H19&lt;=0,"OUT OF STOCK",IF(H19&lt;='Master Inventory'!K19,"LOW STOCK","AMAN"))</f>
        <v>AMAN</v>
      </c>
    </row>
    <row r="20">
      <c r="A20" s="8">
        <v>19</v>
      </c>
      <c r="B20" s="3" t="s">
        <v>54</v>
      </c>
      <c r="C20" t="str" s="3">
        <f>'Master Inventory'!C20</f>
        <v>Hair Mist Perfume 100ml</v>
      </c>
      <c r="D20" s="2">
        <f>'Master Inventory'!J20</f>
        <v>130</v>
      </c>
      <c r="E20" s="2">
        <f>SUMIF('Sales - TikTok'!$E$2:$E$101,B20,'Sales - TikTok'!$G$2:$G$101)</f>
        <v>20</v>
      </c>
      <c r="F20" s="2">
        <f>SUMIF('Sales - Shopee'!$E$2:$E$101,B20,'Sales - Shopee'!$G$2:$G$101)</f>
        <v>24</v>
      </c>
      <c r="G20" s="2">
        <f>E20+F20</f>
        <v>44</v>
      </c>
      <c r="H20" s="2">
        <f>D20-G20</f>
        <v>86</v>
      </c>
      <c r="I20" t="str" s="3">
        <f>IF(H20&lt;=0,"OUT OF STOCK",IF(H20&lt;='Master Inventory'!K20,"LOW STOCK","AMAN"))</f>
        <v>AMAN</v>
      </c>
    </row>
    <row r="21">
      <c r="A21" s="8">
        <v>20</v>
      </c>
      <c r="B21" s="3" t="s">
        <v>56</v>
      </c>
      <c r="C21" t="str" s="3">
        <f>'Master Inventory'!C21</f>
        <v>Hair Vitamin Ampoule (Box 6pcs)</v>
      </c>
      <c r="D21" s="2">
        <f>'Master Inventory'!J21</f>
        <v>32</v>
      </c>
      <c r="E21" s="2">
        <f>SUMIF('Sales - TikTok'!$E$2:$E$101,B21,'Sales - TikTok'!$G$2:$G$101)</f>
        <v>12</v>
      </c>
      <c r="F21" s="2">
        <f>SUMIF('Sales - Shopee'!$E$2:$E$101,B21,'Sales - Shopee'!$G$2:$G$101)</f>
        <v>5</v>
      </c>
      <c r="G21" s="2">
        <f>E21+F21</f>
        <v>17</v>
      </c>
      <c r="H21" s="2">
        <f>D21-G21</f>
        <v>15</v>
      </c>
      <c r="I21" t="str" s="3">
        <f>IF(H21&lt;=0,"OUT OF STOCK",IF(H21&lt;='Master Inventory'!K21,"LOW STOCK","AMAN"))</f>
        <v>LOW STOCK</v>
      </c>
    </row>
    <row r="22">
      <c r="A22" s="8">
        <v>21</v>
      </c>
      <c r="B22" s="3" t="s">
        <v>58</v>
      </c>
      <c r="C22" t="str" s="3">
        <f>'Master Inventory'!C22</f>
        <v>Body Lotion Brightening 200ml</v>
      </c>
      <c r="D22" s="2">
        <f>'Master Inventory'!J22</f>
        <v>220</v>
      </c>
      <c r="E22" s="2">
        <f>SUMIF('Sales - TikTok'!$E$2:$E$101,B22,'Sales - TikTok'!$G$2:$G$101)</f>
        <v>11</v>
      </c>
      <c r="F22" s="2">
        <f>SUMIF('Sales - Shopee'!$E$2:$E$101,B22,'Sales - Shopee'!$G$2:$G$101)</f>
        <v>20</v>
      </c>
      <c r="G22" s="2">
        <f>E22+F22</f>
        <v>31</v>
      </c>
      <c r="H22" s="2">
        <f>D22-G22</f>
        <v>189</v>
      </c>
      <c r="I22" t="str" s="3">
        <f>IF(H22&lt;=0,"OUT OF STOCK",IF(H22&lt;='Master Inventory'!K22,"LOW STOCK","AMAN"))</f>
        <v>AMAN</v>
      </c>
    </row>
    <row r="23">
      <c r="A23" s="8">
        <v>22</v>
      </c>
      <c r="B23" s="3" t="s">
        <v>61</v>
      </c>
      <c r="C23" t="str" s="3">
        <f>'Master Inventory'!C23</f>
        <v>Body Scrub Coffee 200g</v>
      </c>
      <c r="D23" s="2">
        <f>'Master Inventory'!J23</f>
        <v>140</v>
      </c>
      <c r="E23" s="2">
        <f>SUMIF('Sales - TikTok'!$E$2:$E$101,B23,'Sales - TikTok'!$G$2:$G$101)</f>
        <v>14</v>
      </c>
      <c r="F23" s="2">
        <f>SUMIF('Sales - Shopee'!$E$2:$E$101,B23,'Sales - Shopee'!$G$2:$G$101)</f>
        <v>17</v>
      </c>
      <c r="G23" s="2">
        <f>E23+F23</f>
        <v>31</v>
      </c>
      <c r="H23" s="2">
        <f>D23-G23</f>
        <v>109</v>
      </c>
      <c r="I23" t="str" s="3">
        <f>IF(H23&lt;=0,"OUT OF STOCK",IF(H23&lt;='Master Inventory'!K23,"LOW STOCK","AMAN"))</f>
        <v>AMAN</v>
      </c>
    </row>
    <row r="24">
      <c r="A24" s="8">
        <v>23</v>
      </c>
      <c r="B24" s="3" t="s">
        <v>63</v>
      </c>
      <c r="C24" t="str" s="3">
        <f>'Master Inventory'!C24</f>
        <v>Body Mist Fresh Bloom 100ml</v>
      </c>
      <c r="D24" s="2">
        <f>'Master Inventory'!J24</f>
        <v>160</v>
      </c>
      <c r="E24" s="2">
        <f>SUMIF('Sales - TikTok'!$E$2:$E$101,B24,'Sales - TikTok'!$G$2:$G$101)</f>
        <v>25</v>
      </c>
      <c r="F24" s="2">
        <f>SUMIF('Sales - Shopee'!$E$2:$E$101,B24,'Sales - Shopee'!$G$2:$G$101)</f>
        <v>6</v>
      </c>
      <c r="G24" s="2">
        <f>E24+F24</f>
        <v>31</v>
      </c>
      <c r="H24" s="2">
        <f>D24-G24</f>
        <v>129</v>
      </c>
      <c r="I24" t="str" s="3">
        <f>IF(H24&lt;=0,"OUT OF STOCK",IF(H24&lt;='Master Inventory'!K24,"LOW STOCK","AMAN"))</f>
        <v>AMAN</v>
      </c>
    </row>
    <row r="25">
      <c r="A25" s="8">
        <v>24</v>
      </c>
      <c r="B25" s="3" t="s">
        <v>65</v>
      </c>
      <c r="C25" t="str" s="3">
        <f>'Master Inventory'!C25</f>
        <v>Eau de Toilette 30ml</v>
      </c>
      <c r="D25" s="2">
        <f>'Master Inventory'!J25</f>
        <v>45</v>
      </c>
      <c r="E25" s="2">
        <f>SUMIF('Sales - TikTok'!$E$2:$E$101,B25,'Sales - TikTok'!$G$2:$G$101)</f>
        <v>29</v>
      </c>
      <c r="F25" s="2">
        <f>SUMIF('Sales - Shopee'!$E$2:$E$101,B25,'Sales - Shopee'!$G$2:$G$101)</f>
        <v>7</v>
      </c>
      <c r="G25" s="2">
        <f>E25+F25</f>
        <v>36</v>
      </c>
      <c r="H25" s="2">
        <f>D25-G25</f>
        <v>9</v>
      </c>
      <c r="I25" t="str" s="3">
        <f>IF(H25&lt;=0,"OUT OF STOCK",IF(H25&lt;='Master Inventory'!K25,"LOW STOCK","AMAN"))</f>
        <v>LOW STOCK</v>
      </c>
    </row>
    <row r="26">
      <c r="A26" s="8">
        <v>25</v>
      </c>
      <c r="B26" s="3" t="s">
        <v>68</v>
      </c>
      <c r="C26" t="str" s="3">
        <f>'Master Inventory'!C26</f>
        <v>Eau de Parfum 50ml</v>
      </c>
      <c r="D26" s="2">
        <f>'Master Inventory'!J26</f>
        <v>50</v>
      </c>
      <c r="E26" s="2">
        <f>SUMIF('Sales - TikTok'!$E$2:$E$101,B26,'Sales - TikTok'!$G$2:$G$101)</f>
        <v>6</v>
      </c>
      <c r="F26" s="2">
        <f>SUMIF('Sales - Shopee'!$E$2:$E$101,B26,'Sales - Shopee'!$G$2:$G$101)</f>
        <v>47</v>
      </c>
      <c r="G26" s="2">
        <f>E26+F26</f>
        <v>53</v>
      </c>
      <c r="H26" s="2">
        <f>D26-G26</f>
        <v>-3</v>
      </c>
      <c r="I26" t="str" s="3">
        <f>IF(H26&lt;=0,"OUT OF STOCK",IF(H26&lt;='Master Inventory'!K26,"LOW STOCK","AMAN"))</f>
        <v>OUT OF STOCK</v>
      </c>
    </row>
  </sheetData>
  <conditionalFormatting sqref="I2:I26">
    <cfRule type="containsText" dxfId="1" priority="1" operator="containsText" text="OUT OF STOCK">
      <formula>NOT(ISERROR(SEARCH("OUT OF STOCK",I2)))</formula>
    </cfRule>
    <cfRule type="containsText" dxfId="2" priority="2" operator="containsText" text="LOW STOCK">
      <formula>NOT(ISERROR(SEARCH("LOW STOCK",I2)))</formula>
    </cfRule>
  </conditionalFormatting>
</worksheet>
</file>

<file path=xl/worksheets/sheet5.xml><?xml version="1.0" encoding="utf-8"?>
<worksheet xmlns="http://schemas.openxmlformats.org/spreadsheetml/2006/main">
  <dimension ref="A1:M26"/>
  <sheetViews>
    <sheetView tabSelected="0" workbookViewId="0">
      <pane ySplit="1" topLeftCell="A2" activePane="bottomLeft" state="frozen"/>
    </sheetView>
  </sheetViews>
  <sheetFormatPr defaultRowHeight="15"/>
  <cols>
    <col min="1" max="1" width="5" customWidth="1"/>
    <col min="2" max="2" width="10" customWidth="1"/>
    <col min="3" max="3" width="32" customWidth="1"/>
    <col min="4" max="4" width="14" customWidth="1"/>
    <col min="5" max="5" width="15" customWidth="1"/>
    <col min="6" max="6" width="20" customWidth="1"/>
    <col min="7" max="7" width="20" customWidth="1"/>
    <col min="8" max="8" width="20" customWidth="1"/>
    <col min="9" max="9" width="16" customWidth="1"/>
    <col min="10" max="10" width="16" customWidth="1"/>
    <col min="11" max="11" width="16" customWidth="1"/>
    <col min="12" max="12" width="16" customWidth="1"/>
    <col min="13" max="13" width="34" customWidth="1"/>
  </cols>
  <sheetData>
    <row r="1">
      <c r="A1" s="1" t="s">
        <v>0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</row>
    <row r="2">
      <c r="A2" s="8">
        <v>1</v>
      </c>
      <c r="B2" s="3" t="s">
        <v>12</v>
      </c>
      <c r="C2" t="str" s="3">
        <f>'Master Inventory'!C2</f>
        <v>Facial Wash Gentle Foam 100ml</v>
      </c>
      <c r="D2" s="2">
        <f>'Master Inventory'!F2</f>
        <v>16000</v>
      </c>
      <c r="E2" s="4">
        <f>'Master Inventory'!G2</f>
        <v>0.62</v>
      </c>
      <c r="F2" s="2">
        <f>'Master Inventory'!H2</f>
        <v>42000</v>
      </c>
      <c r="G2" s="2">
        <f>IFERROR(ROUND(AVERAGEIF('Sales - TikTok'!$E$2:$E$101,B2,'Sales - TikTok'!$J$2:$J$101),0),"TIDAK ADA DATA")</f>
        <v>19300</v>
      </c>
      <c r="H2" s="2">
        <f>IFERROR(ROUND(AVERAGEIF('Sales - Shopee'!$E$2:$E$101,B2,'Sales - Shopee'!$J$2:$J$101),0),"TIDAK ADA DATA")</f>
        <v>31757</v>
      </c>
      <c r="I2" s="4">
        <f>IFERROR((G2-F2)/F2,0)</f>
        <v>-0.540476</v>
      </c>
      <c r="J2" s="4">
        <f>IFERROR((H2-F2)/F2,0)</f>
        <v>-0.243881</v>
      </c>
      <c r="K2" t="str" s="3">
        <f>IF(ISTEXT(G2),"TIDAK ADA DATA",IF(G2&lt;D2,"RUGI (DI BAWAH COGS)",IF(G2&lt;F2,"DI BAWAH HARGA INTERNAL","SESUAI/DI ATAS INTERNAL")))</f>
        <v>DI BAWAH HARGA INTERNAL</v>
      </c>
      <c r="L2" t="str" s="3">
        <f>IF(ISTEXT(H2),"TIDAK ADA DATA",IF(H2&lt;D2,"RUGI (DI BAWAH COGS)",IF(H2&lt;F2,"DI BAWAH HARGA INTERNAL","SESUAI/DI ATAS INTERNAL")))</f>
        <v>DI BAWAH HARGA INTERNAL</v>
      </c>
      <c r="M2" s="3" t="s">
        <v>304</v>
      </c>
    </row>
    <row r="3">
      <c r="A3" s="8">
        <v>2</v>
      </c>
      <c r="B3" s="3" t="s">
        <v>17</v>
      </c>
      <c r="C3" t="str" s="3">
        <f>'Master Inventory'!C3</f>
        <v>Toner Hydrating Rose 150ml</v>
      </c>
      <c r="D3" s="2">
        <f>'Master Inventory'!F3</f>
        <v>22000</v>
      </c>
      <c r="E3" s="4">
        <f>'Master Inventory'!G3</f>
        <v>0.62</v>
      </c>
      <c r="F3" s="2">
        <f>'Master Inventory'!H3</f>
        <v>58000</v>
      </c>
      <c r="G3" s="2">
        <f>IFERROR(ROUND(AVERAGEIF('Sales - TikTok'!$E$2:$E$101,B3,'Sales - TikTok'!$J$2:$J$101),0),"TIDAK ADA DATA")</f>
        <v>18000</v>
      </c>
      <c r="H3" s="2">
        <f>IFERROR(ROUND(AVERAGEIF('Sales - Shopee'!$E$2:$E$101,B3,'Sales - Shopee'!$J$2:$J$101),0),"TIDAK ADA DATA")</f>
        <v>43825</v>
      </c>
      <c r="I3" s="4">
        <f>IFERROR((G3-F3)/F3,0)</f>
        <v>-0.689655</v>
      </c>
      <c r="J3" s="4">
        <f>IFERROR((H3-F3)/F3,0)</f>
        <v>-0.244397</v>
      </c>
      <c r="K3" t="str" s="3">
        <f>IF(ISTEXT(G3),"TIDAK ADA DATA",IF(G3&lt;D3,"RUGI (DI BAWAH COGS)",IF(G3&lt;F3,"DI BAWAH HARGA INTERNAL","SESUAI/DI ATAS INTERNAL")))</f>
        <v>RUGI (DI BAWAH COGS)</v>
      </c>
      <c r="L3" t="str" s="3">
        <f>IF(ISTEXT(H3),"TIDAK ADA DATA",IF(H3&lt;D3,"RUGI (DI BAWAH COGS)",IF(H3&lt;F3,"DI BAWAH HARGA INTERNAL","SESUAI/DI ATAS INTERNAL")))</f>
        <v>DI BAWAH HARGA INTERNAL</v>
      </c>
      <c r="M3" s="3" t="s">
        <v>305</v>
      </c>
    </row>
    <row r="4">
      <c r="A4" s="8">
        <v>3</v>
      </c>
      <c r="B4" s="3" t="s">
        <v>19</v>
      </c>
      <c r="C4" t="str" s="3">
        <f>'Master Inventory'!C4</f>
        <v>Serum Vitamin C 20ml</v>
      </c>
      <c r="D4" s="2">
        <f>'Master Inventory'!F4</f>
        <v>35000</v>
      </c>
      <c r="E4" s="4">
        <f>'Master Inventory'!G4</f>
        <v>0.62</v>
      </c>
      <c r="F4" s="2">
        <f>'Master Inventory'!H4</f>
        <v>92000</v>
      </c>
      <c r="G4" s="2">
        <f>IFERROR(ROUND(AVERAGEIF('Sales - TikTok'!$E$2:$E$101,B4,'Sales - TikTok'!$J$2:$J$101),0),"TIDAK ADA DATA")</f>
        <v>66843</v>
      </c>
      <c r="H4" s="2">
        <f>IFERROR(ROUND(AVERAGEIF('Sales - Shopee'!$E$2:$E$101,B4,'Sales - Shopee'!$J$2:$J$101),0),"TIDAK ADA DATA")</f>
        <v>104200</v>
      </c>
      <c r="I4" s="4">
        <f>IFERROR((G4-F4)/F4,0)</f>
        <v>-0.273446</v>
      </c>
      <c r="J4" s="4">
        <f>IFERROR((H4-F4)/F4,0)</f>
        <v>0.132609</v>
      </c>
      <c r="K4" t="str" s="3">
        <f>IF(ISTEXT(G4),"TIDAK ADA DATA",IF(G4&lt;D4,"RUGI (DI BAWAH COGS)",IF(G4&lt;F4,"DI BAWAH HARGA INTERNAL","SESUAI/DI ATAS INTERNAL")))</f>
        <v>DI BAWAH HARGA INTERNAL</v>
      </c>
      <c r="L4" t="str" s="3">
        <f>IF(ISTEXT(H4),"TIDAK ADA DATA",IF(H4&lt;D4,"RUGI (DI BAWAH COGS)",IF(H4&lt;F4,"DI BAWAH HARGA INTERNAL","SESUAI/DI ATAS INTERNAL")))</f>
        <v>SESUAI/DI ATAS INTERNAL</v>
      </c>
      <c r="M4" s="3" t="s">
        <v>304</v>
      </c>
    </row>
    <row r="5">
      <c r="A5" s="8">
        <v>4</v>
      </c>
      <c r="B5" s="3" t="s">
        <v>21</v>
      </c>
      <c r="C5" t="str" s="3">
        <f>'Master Inventory'!C5</f>
        <v>Serum Niacinamide 10% 20ml</v>
      </c>
      <c r="D5" s="2">
        <f>'Master Inventory'!F5</f>
        <v>32000</v>
      </c>
      <c r="E5" s="4">
        <f>'Master Inventory'!G5</f>
        <v>0.62</v>
      </c>
      <c r="F5" s="2">
        <f>'Master Inventory'!H5</f>
        <v>84000</v>
      </c>
      <c r="G5" s="2">
        <f>IFERROR(ROUND(AVERAGEIF('Sales - TikTok'!$E$2:$E$101,B5,'Sales - TikTok'!$J$2:$J$101),0),"TIDAK ADA DATA")</f>
        <v>52320</v>
      </c>
      <c r="H5" s="2">
        <f>IFERROR(ROUND(AVERAGEIF('Sales - Shopee'!$E$2:$E$101,B5,'Sales - Shopee'!$J$2:$J$101),0),"TIDAK ADA DATA")</f>
        <v>41267</v>
      </c>
      <c r="I5" s="4">
        <f>IFERROR((G5-F5)/F5,0)</f>
        <v>-0.377143</v>
      </c>
      <c r="J5" s="4">
        <f>IFERROR((H5-F5)/F5,0)</f>
        <v>-0.508726</v>
      </c>
      <c r="K5" t="str" s="3">
        <f>IF(ISTEXT(G5),"TIDAK ADA DATA",IF(G5&lt;D5,"RUGI (DI BAWAH COGS)",IF(G5&lt;F5,"DI BAWAH HARGA INTERNAL","SESUAI/DI ATAS INTERNAL")))</f>
        <v>DI BAWAH HARGA INTERNAL</v>
      </c>
      <c r="L5" t="str" s="3">
        <f>IF(ISTEXT(H5),"TIDAK ADA DATA",IF(H5&lt;D5,"RUGI (DI BAWAH COGS)",IF(H5&lt;F5,"DI BAWAH HARGA INTERNAL","SESUAI/DI ATAS INTERNAL")))</f>
        <v>DI BAWAH HARGA INTERNAL</v>
      </c>
      <c r="M5" s="3" t="s">
        <v>304</v>
      </c>
    </row>
    <row r="6">
      <c r="A6" s="8">
        <v>5</v>
      </c>
      <c r="B6" s="3" t="s">
        <v>23</v>
      </c>
      <c r="C6" t="str" s="3">
        <f>'Master Inventory'!C6</f>
        <v>Moisturizer Gel Cream 40g</v>
      </c>
      <c r="D6" s="2">
        <f>'Master Inventory'!F6</f>
        <v>28000</v>
      </c>
      <c r="E6" s="4">
        <f>'Master Inventory'!G6</f>
        <v>0.62</v>
      </c>
      <c r="F6" s="2">
        <f>'Master Inventory'!H6</f>
        <v>74000</v>
      </c>
      <c r="G6" s="2">
        <f>IFERROR(ROUND(AVERAGEIF('Sales - TikTok'!$E$2:$E$101,B6,'Sales - TikTok'!$J$2:$J$101),0),"TIDAK ADA DATA")</f>
        <v>62400</v>
      </c>
      <c r="H6" s="2">
        <f>IFERROR(ROUND(AVERAGEIF('Sales - Shopee'!$E$2:$E$101,B6,'Sales - Shopee'!$J$2:$J$101),0),"TIDAK ADA DATA")</f>
        <v>61275</v>
      </c>
      <c r="I6" s="4">
        <f>IFERROR((G6-F6)/F6,0)</f>
        <v>-0.156757</v>
      </c>
      <c r="J6" s="4">
        <f>IFERROR((H6-F6)/F6,0)</f>
        <v>-0.171959</v>
      </c>
      <c r="K6" t="str" s="3">
        <f>IF(ISTEXT(G6),"TIDAK ADA DATA",IF(G6&lt;D6,"RUGI (DI BAWAH COGS)",IF(G6&lt;F6,"DI BAWAH HARGA INTERNAL","SESUAI/DI ATAS INTERNAL")))</f>
        <v>DI BAWAH HARGA INTERNAL</v>
      </c>
      <c r="L6" t="str" s="3">
        <f>IF(ISTEXT(H6),"TIDAK ADA DATA",IF(H6&lt;D6,"RUGI (DI BAWAH COGS)",IF(H6&lt;F6,"DI BAWAH HARGA INTERNAL","SESUAI/DI ATAS INTERNAL")))</f>
        <v>DI BAWAH HARGA INTERNAL</v>
      </c>
      <c r="M6" s="3" t="s">
        <v>304</v>
      </c>
    </row>
    <row r="7">
      <c r="A7" s="8">
        <v>6</v>
      </c>
      <c r="B7" s="3" t="s">
        <v>26</v>
      </c>
      <c r="C7" t="str" s="3">
        <f>'Master Inventory'!C7</f>
        <v>Sunscreen SPF50 PA+++ 40ml</v>
      </c>
      <c r="D7" s="2">
        <f>'Master Inventory'!F7</f>
        <v>30000</v>
      </c>
      <c r="E7" s="4">
        <f>'Master Inventory'!G7</f>
        <v>0.62</v>
      </c>
      <c r="F7" s="2">
        <f>'Master Inventory'!H7</f>
        <v>79000</v>
      </c>
      <c r="G7" s="2">
        <f>IFERROR(ROUND(AVERAGEIF('Sales - TikTok'!$E$2:$E$101,B7,'Sales - TikTok'!$J$2:$J$101),0),"TIDAK ADA DATA")</f>
        <v>49325</v>
      </c>
      <c r="H7" s="2">
        <f>IFERROR(ROUND(AVERAGEIF('Sales - Shopee'!$E$2:$E$101,B7,'Sales - Shopee'!$J$2:$J$101),0),"TIDAK ADA DATA")</f>
        <v>46700</v>
      </c>
      <c r="I7" s="4">
        <f>IFERROR((G7-F7)/F7,0)</f>
        <v>-0.375633</v>
      </c>
      <c r="J7" s="4">
        <f>IFERROR((H7-F7)/F7,0)</f>
        <v>-0.408861</v>
      </c>
      <c r="K7" t="str" s="3">
        <f>IF(ISTEXT(G7),"TIDAK ADA DATA",IF(G7&lt;D7,"RUGI (DI BAWAH COGS)",IF(G7&lt;F7,"DI BAWAH HARGA INTERNAL","SESUAI/DI ATAS INTERNAL")))</f>
        <v>DI BAWAH HARGA INTERNAL</v>
      </c>
      <c r="L7" t="str" s="3">
        <f>IF(ISTEXT(H7),"TIDAK ADA DATA",IF(H7&lt;D7,"RUGI (DI BAWAH COGS)",IF(H7&lt;F7,"DI BAWAH HARGA INTERNAL","SESUAI/DI ATAS INTERNAL")))</f>
        <v>DI BAWAH HARGA INTERNAL</v>
      </c>
      <c r="M7" s="3" t="s">
        <v>304</v>
      </c>
    </row>
    <row r="8">
      <c r="A8" s="8">
        <v>7</v>
      </c>
      <c r="B8" s="3" t="s">
        <v>28</v>
      </c>
      <c r="C8" t="str" s="3">
        <f>'Master Inventory'!C8</f>
        <v>Eye Cream Anti Aging 15ml</v>
      </c>
      <c r="D8" s="2">
        <f>'Master Inventory'!F8</f>
        <v>38000</v>
      </c>
      <c r="E8" s="4">
        <f>'Master Inventory'!G8</f>
        <v>0.62</v>
      </c>
      <c r="F8" s="2">
        <f>'Master Inventory'!H8</f>
        <v>100000</v>
      </c>
      <c r="G8" s="2">
        <f>IFERROR(ROUND(AVERAGEIF('Sales - TikTok'!$E$2:$E$101,B8,'Sales - TikTok'!$J$2:$J$101),0),"TIDAK ADA DATA")</f>
        <v>64150</v>
      </c>
      <c r="H8" s="2">
        <f>IFERROR(ROUND(AVERAGEIF('Sales - Shopee'!$E$2:$E$101,B8,'Sales - Shopee'!$J$2:$J$101),0),"TIDAK ADA DATA")</f>
        <v>103400</v>
      </c>
      <c r="I8" s="4">
        <f>IFERROR((G8-F8)/F8,0)</f>
        <v>-0.3585</v>
      </c>
      <c r="J8" s="4">
        <f>IFERROR((H8-F8)/F8,0)</f>
        <v>0.034</v>
      </c>
      <c r="K8" t="str" s="3">
        <f>IF(ISTEXT(G8),"TIDAK ADA DATA",IF(G8&lt;D8,"RUGI (DI BAWAH COGS)",IF(G8&lt;F8,"DI BAWAH HARGA INTERNAL","SESUAI/DI ATAS INTERNAL")))</f>
        <v>DI BAWAH HARGA INTERNAL</v>
      </c>
      <c r="L8" t="str" s="3">
        <f>IF(ISTEXT(H8),"TIDAK ADA DATA",IF(H8&lt;D8,"RUGI (DI BAWAH COGS)",IF(H8&lt;F8,"DI BAWAH HARGA INTERNAL","SESUAI/DI ATAS INTERNAL")))</f>
        <v>SESUAI/DI ATAS INTERNAL</v>
      </c>
      <c r="M8" s="3" t="s">
        <v>304</v>
      </c>
    </row>
    <row r="9">
      <c r="A9" s="8">
        <v>8</v>
      </c>
      <c r="B9" s="3" t="s">
        <v>30</v>
      </c>
      <c r="C9" t="str" s="3">
        <f>'Master Inventory'!C9</f>
        <v>Sheet Mask Brightening (Box 5pcs)</v>
      </c>
      <c r="D9" s="2">
        <f>'Master Inventory'!F9</f>
        <v>20000</v>
      </c>
      <c r="E9" s="4">
        <f>'Master Inventory'!G9</f>
        <v>0.62</v>
      </c>
      <c r="F9" s="2">
        <f>'Master Inventory'!H9</f>
        <v>53000</v>
      </c>
      <c r="G9" s="2">
        <f>IFERROR(ROUND(AVERAGEIF('Sales - TikTok'!$E$2:$E$101,B9,'Sales - TikTok'!$J$2:$J$101),0),"TIDAK ADA DATA")</f>
        <v>55950</v>
      </c>
      <c r="H9" s="2">
        <f>IFERROR(ROUND(AVERAGEIF('Sales - Shopee'!$E$2:$E$101,B9,'Sales - Shopee'!$J$2:$J$101),0),"TIDAK ADA DATA")</f>
        <v>17833</v>
      </c>
      <c r="I9" s="4">
        <f>IFERROR((G9-F9)/F9,0)</f>
        <v>0.05566</v>
      </c>
      <c r="J9" s="4">
        <f>IFERROR((H9-F9)/F9,0)</f>
        <v>-0.663528</v>
      </c>
      <c r="K9" t="str" s="3">
        <f>IF(ISTEXT(G9),"TIDAK ADA DATA",IF(G9&lt;D9,"RUGI (DI BAWAH COGS)",IF(G9&lt;F9,"DI BAWAH HARGA INTERNAL","SESUAI/DI ATAS INTERNAL")))</f>
        <v>SESUAI/DI ATAS INTERNAL</v>
      </c>
      <c r="L9" t="str" s="3">
        <f>IF(ISTEXT(H9),"TIDAK ADA DATA",IF(H9&lt;D9,"RUGI (DI BAWAH COGS)",IF(H9&lt;F9,"DI BAWAH HARGA INTERNAL","SESUAI/DI ATAS INTERNAL")))</f>
        <v>RUGI (DI BAWAH COGS)</v>
      </c>
      <c r="M9" s="3" t="s">
        <v>305</v>
      </c>
    </row>
    <row r="10">
      <c r="A10" s="8">
        <v>9</v>
      </c>
      <c r="B10" s="3" t="s">
        <v>32</v>
      </c>
      <c r="C10" t="str" s="3">
        <f>'Master Inventory'!C10</f>
        <v>Lip Tint Velvet Matte</v>
      </c>
      <c r="D10" s="2">
        <f>'Master Inventory'!F10</f>
        <v>14000</v>
      </c>
      <c r="E10" s="4">
        <f>'Master Inventory'!G10</f>
        <v>0.6</v>
      </c>
      <c r="F10" s="2">
        <f>'Master Inventory'!H10</f>
        <v>35000</v>
      </c>
      <c r="G10" s="2">
        <f>IFERROR(ROUND(AVERAGEIF('Sales - TikTok'!$E$2:$E$101,B10,'Sales - TikTok'!$J$2:$J$101),0),"TIDAK ADA DATA")</f>
        <v>29225</v>
      </c>
      <c r="H10" s="2">
        <f>IFERROR(ROUND(AVERAGEIF('Sales - Shopee'!$E$2:$E$101,B10,'Sales - Shopee'!$J$2:$J$101),0),"TIDAK ADA DATA")</f>
        <v>31280</v>
      </c>
      <c r="I10" s="4">
        <f>IFERROR((G10-F10)/F10,0)</f>
        <v>-0.165</v>
      </c>
      <c r="J10" s="4">
        <f>IFERROR((H10-F10)/F10,0)</f>
        <v>-0.106286</v>
      </c>
      <c r="K10" t="str" s="3">
        <f>IF(ISTEXT(G10),"TIDAK ADA DATA",IF(G10&lt;D10,"RUGI (DI BAWAH COGS)",IF(G10&lt;F10,"DI BAWAH HARGA INTERNAL","SESUAI/DI ATAS INTERNAL")))</f>
        <v>DI BAWAH HARGA INTERNAL</v>
      </c>
      <c r="L10" t="str" s="3">
        <f>IF(ISTEXT(H10),"TIDAK ADA DATA",IF(H10&lt;D10,"RUGI (DI BAWAH COGS)",IF(H10&lt;F10,"DI BAWAH HARGA INTERNAL","SESUAI/DI ATAS INTERNAL")))</f>
        <v>DI BAWAH HARGA INTERNAL</v>
      </c>
      <c r="M10" s="3" t="s">
        <v>304</v>
      </c>
    </row>
    <row r="11">
      <c r="A11" s="8">
        <v>10</v>
      </c>
      <c r="B11" s="3" t="s">
        <v>35</v>
      </c>
      <c r="C11" t="str" s="3">
        <f>'Master Inventory'!C11</f>
        <v>Lip Cream Matte Long Lasting</v>
      </c>
      <c r="D11" s="2">
        <f>'Master Inventory'!F11</f>
        <v>15000</v>
      </c>
      <c r="E11" s="4">
        <f>'Master Inventory'!G11</f>
        <v>0.6</v>
      </c>
      <c r="F11" s="2">
        <f>'Master Inventory'!H11</f>
        <v>38000</v>
      </c>
      <c r="G11" s="2">
        <f>IFERROR(ROUND(AVERAGEIF('Sales - TikTok'!$E$2:$E$101,B11,'Sales - TikTok'!$J$2:$J$101),0),"TIDAK ADA DATA")</f>
        <v>38125</v>
      </c>
      <c r="H11" s="2">
        <f>IFERROR(ROUND(AVERAGEIF('Sales - Shopee'!$E$2:$E$101,B11,'Sales - Shopee'!$J$2:$J$101),0),"TIDAK ADA DATA")</f>
        <v>38820</v>
      </c>
      <c r="I11" s="4">
        <f>IFERROR((G11-F11)/F11,0)</f>
        <v>0.003289</v>
      </c>
      <c r="J11" s="4">
        <f>IFERROR((H11-F11)/F11,0)</f>
        <v>0.021579</v>
      </c>
      <c r="K11" t="str" s="3">
        <f>IF(ISTEXT(G11),"TIDAK ADA DATA",IF(G11&lt;D11,"RUGI (DI BAWAH COGS)",IF(G11&lt;F11,"DI BAWAH HARGA INTERNAL","SESUAI/DI ATAS INTERNAL")))</f>
        <v>SESUAI/DI ATAS INTERNAL</v>
      </c>
      <c r="L11" t="str" s="3">
        <f>IF(ISTEXT(H11),"TIDAK ADA DATA",IF(H11&lt;D11,"RUGI (DI BAWAH COGS)",IF(H11&lt;F11,"DI BAWAH HARGA INTERNAL","SESUAI/DI ATAS INTERNAL")))</f>
        <v>SESUAI/DI ATAS INTERNAL</v>
      </c>
      <c r="M11" s="3" t="s">
        <v>306</v>
      </c>
    </row>
    <row r="12">
      <c r="A12" s="8">
        <v>11</v>
      </c>
      <c r="B12" s="3" t="s">
        <v>37</v>
      </c>
      <c r="C12" t="str" s="3">
        <f>'Master Inventory'!C12</f>
        <v>Cushion Foundation SPF35</v>
      </c>
      <c r="D12" s="2">
        <f>'Master Inventory'!F12</f>
        <v>45000</v>
      </c>
      <c r="E12" s="4">
        <f>'Master Inventory'!G12</f>
        <v>0.6</v>
      </c>
      <c r="F12" s="2">
        <f>'Master Inventory'!H12</f>
        <v>112000</v>
      </c>
      <c r="G12" s="2">
        <f>IFERROR(ROUND(AVERAGEIF('Sales - TikTok'!$E$2:$E$101,B12,'Sales - TikTok'!$J$2:$J$101),0),"TIDAK ADA DATA")</f>
        <v>81112</v>
      </c>
      <c r="H12" s="2">
        <f>IFERROR(ROUND(AVERAGEIF('Sales - Shopee'!$E$2:$E$101,B12,'Sales - Shopee'!$J$2:$J$101),0),"TIDAK ADA DATA")</f>
        <v>81783</v>
      </c>
      <c r="I12" s="4">
        <f>IFERROR((G12-F12)/F12,0)</f>
        <v>-0.275786</v>
      </c>
      <c r="J12" s="4">
        <f>IFERROR((H12-F12)/F12,0)</f>
        <v>-0.269795</v>
      </c>
      <c r="K12" t="str" s="3">
        <f>IF(ISTEXT(G12),"TIDAK ADA DATA",IF(G12&lt;D12,"RUGI (DI BAWAH COGS)",IF(G12&lt;F12,"DI BAWAH HARGA INTERNAL","SESUAI/DI ATAS INTERNAL")))</f>
        <v>DI BAWAH HARGA INTERNAL</v>
      </c>
      <c r="L12" t="str" s="3">
        <f>IF(ISTEXT(H12),"TIDAK ADA DATA",IF(H12&lt;D12,"RUGI (DI BAWAH COGS)",IF(H12&lt;F12,"DI BAWAH HARGA INTERNAL","SESUAI/DI ATAS INTERNAL")))</f>
        <v>DI BAWAH HARGA INTERNAL</v>
      </c>
      <c r="M12" s="3" t="s">
        <v>304</v>
      </c>
    </row>
    <row r="13">
      <c r="A13" s="8">
        <v>12</v>
      </c>
      <c r="B13" s="3" t="s">
        <v>39</v>
      </c>
      <c r="C13" t="str" s="3">
        <f>'Master Inventory'!C13</f>
        <v>Compact Powder Matte Finish</v>
      </c>
      <c r="D13" s="2">
        <f>'Master Inventory'!F13</f>
        <v>25000</v>
      </c>
      <c r="E13" s="4">
        <f>'Master Inventory'!G13</f>
        <v>0.6</v>
      </c>
      <c r="F13" s="2">
        <f>'Master Inventory'!H13</f>
        <v>62000</v>
      </c>
      <c r="G13" s="2">
        <f>IFERROR(ROUND(AVERAGEIF('Sales - TikTok'!$E$2:$E$101,B13,'Sales - TikTok'!$J$2:$J$101),0),"TIDAK ADA DATA")</f>
        <v>26100</v>
      </c>
      <c r="H13" s="2">
        <f>IFERROR(ROUND(AVERAGEIF('Sales - Shopee'!$E$2:$E$101,B13,'Sales - Shopee'!$J$2:$J$101),0),"TIDAK ADA DATA")</f>
        <v>62000</v>
      </c>
      <c r="I13" s="4">
        <f>IFERROR((G13-F13)/F13,0)</f>
        <v>-0.579032</v>
      </c>
      <c r="J13" s="4">
        <f>IFERROR((H13-F13)/F13,0)</f>
        <v>0.0</v>
      </c>
      <c r="K13" t="str" s="3">
        <f>IF(ISTEXT(G13),"TIDAK ADA DATA",IF(G13&lt;D13,"RUGI (DI BAWAH COGS)",IF(G13&lt;F13,"DI BAWAH HARGA INTERNAL","SESUAI/DI ATAS INTERNAL")))</f>
        <v>DI BAWAH HARGA INTERNAL</v>
      </c>
      <c r="L13" t="str" s="3">
        <f>IF(ISTEXT(H13),"TIDAK ADA DATA",IF(H13&lt;D13,"RUGI (DI BAWAH COGS)",IF(H13&lt;F13,"DI BAWAH HARGA INTERNAL","SESUAI/DI ATAS INTERNAL")))</f>
        <v>SESUAI/DI ATAS INTERNAL</v>
      </c>
      <c r="M13" s="3" t="s">
        <v>304</v>
      </c>
    </row>
    <row r="14">
      <c r="A14" s="8">
        <v>13</v>
      </c>
      <c r="B14" s="3" t="s">
        <v>41</v>
      </c>
      <c r="C14" t="str" s="3">
        <f>'Master Inventory'!C14</f>
        <v>Eyebrow Pencil Waterproof</v>
      </c>
      <c r="D14" s="2">
        <f>'Master Inventory'!F14</f>
        <v>10000</v>
      </c>
      <c r="E14" s="4">
        <f>'Master Inventory'!G14</f>
        <v>0.6</v>
      </c>
      <c r="F14" s="2">
        <f>'Master Inventory'!H14</f>
        <v>25000</v>
      </c>
      <c r="G14" s="2">
        <f>IFERROR(ROUND(AVERAGEIF('Sales - TikTok'!$E$2:$E$101,B14,'Sales - TikTok'!$J$2:$J$101),0),"TIDAK ADA DATA")</f>
        <v>10400</v>
      </c>
      <c r="H14" s="2">
        <f>IFERROR(ROUND(AVERAGEIF('Sales - Shopee'!$E$2:$E$101,B14,'Sales - Shopee'!$J$2:$J$101),0),"TIDAK ADA DATA")</f>
        <v>35000</v>
      </c>
      <c r="I14" s="4">
        <f>IFERROR((G14-F14)/F14,0)</f>
        <v>-0.584</v>
      </c>
      <c r="J14" s="4">
        <f>IFERROR((H14-F14)/F14,0)</f>
        <v>0.4</v>
      </c>
      <c r="K14" t="str" s="3">
        <f>IF(ISTEXT(G14),"TIDAK ADA DATA",IF(G14&lt;D14,"RUGI (DI BAWAH COGS)",IF(G14&lt;F14,"DI BAWAH HARGA INTERNAL","SESUAI/DI ATAS INTERNAL")))</f>
        <v>DI BAWAH HARGA INTERNAL</v>
      </c>
      <c r="L14" t="str" s="3">
        <f>IF(ISTEXT(H14),"TIDAK ADA DATA",IF(H14&lt;D14,"RUGI (DI BAWAH COGS)",IF(H14&lt;F14,"DI BAWAH HARGA INTERNAL","SESUAI/DI ATAS INTERNAL")))</f>
        <v>SESUAI/DI ATAS INTERNAL</v>
      </c>
      <c r="M14" s="3" t="s">
        <v>304</v>
      </c>
    </row>
    <row r="15">
      <c r="A15" s="8">
        <v>14</v>
      </c>
      <c r="B15" s="3" t="s">
        <v>43</v>
      </c>
      <c r="C15" t="str" s="3">
        <f>'Master Inventory'!C15</f>
        <v>Mascara Volume &amp; Curl</v>
      </c>
      <c r="D15" s="2">
        <f>'Master Inventory'!F15</f>
        <v>18000</v>
      </c>
      <c r="E15" s="4">
        <f>'Master Inventory'!G15</f>
        <v>0.6</v>
      </c>
      <c r="F15" s="2">
        <f>'Master Inventory'!H15</f>
        <v>45000</v>
      </c>
      <c r="G15" s="2">
        <f>IFERROR(ROUND(AVERAGEIF('Sales - TikTok'!$E$2:$E$101,B15,'Sales - TikTok'!$J$2:$J$101),0),"TIDAK ADA DATA")</f>
        <v>58550</v>
      </c>
      <c r="H15" s="2">
        <f>IFERROR(ROUND(AVERAGEIF('Sales - Shopee'!$E$2:$E$101,B15,'Sales - Shopee'!$J$2:$J$101),0),"TIDAK ADA DATA")</f>
        <v>27600</v>
      </c>
      <c r="I15" s="4">
        <f>IFERROR((G15-F15)/F15,0)</f>
        <v>0.301111</v>
      </c>
      <c r="J15" s="4">
        <f>IFERROR((H15-F15)/F15,0)</f>
        <v>-0.386667</v>
      </c>
      <c r="K15" t="str" s="3">
        <f>IF(ISTEXT(G15),"TIDAK ADA DATA",IF(G15&lt;D15,"RUGI (DI BAWAH COGS)",IF(G15&lt;F15,"DI BAWAH HARGA INTERNAL","SESUAI/DI ATAS INTERNAL")))</f>
        <v>SESUAI/DI ATAS INTERNAL</v>
      </c>
      <c r="L15" t="str" s="3">
        <f>IF(ISTEXT(H15),"TIDAK ADA DATA",IF(H15&lt;D15,"RUGI (DI BAWAH COGS)",IF(H15&lt;F15,"DI BAWAH HARGA INTERNAL","SESUAI/DI ATAS INTERNAL")))</f>
        <v>DI BAWAH HARGA INTERNAL</v>
      </c>
      <c r="M15" s="3" t="s">
        <v>304</v>
      </c>
    </row>
    <row r="16">
      <c r="A16" s="8">
        <v>15</v>
      </c>
      <c r="B16" s="3" t="s">
        <v>45</v>
      </c>
      <c r="C16" t="str" s="3">
        <f>'Master Inventory'!C16</f>
        <v>Makeup Setting Spray 100ml</v>
      </c>
      <c r="D16" s="2">
        <f>'Master Inventory'!F16</f>
        <v>22000</v>
      </c>
      <c r="E16" s="4">
        <f>'Master Inventory'!G16</f>
        <v>0.6</v>
      </c>
      <c r="F16" s="2">
        <f>'Master Inventory'!H16</f>
        <v>55000</v>
      </c>
      <c r="G16" s="2">
        <f>IFERROR(ROUND(AVERAGEIF('Sales - TikTok'!$E$2:$E$101,B16,'Sales - TikTok'!$J$2:$J$101),0),"TIDAK ADA DATA")</f>
        <v>46767</v>
      </c>
      <c r="H16" s="2">
        <f>IFERROR(ROUND(AVERAGEIF('Sales - Shopee'!$E$2:$E$101,B16,'Sales - Shopee'!$J$2:$J$101),0),"TIDAK ADA DATA")</f>
        <v>45700</v>
      </c>
      <c r="I16" s="4">
        <f>IFERROR((G16-F16)/F16,0)</f>
        <v>-0.149691</v>
      </c>
      <c r="J16" s="4">
        <f>IFERROR((H16-F16)/F16,0)</f>
        <v>-0.169091</v>
      </c>
      <c r="K16" t="str" s="3">
        <f>IF(ISTEXT(G16),"TIDAK ADA DATA",IF(G16&lt;D16,"RUGI (DI BAWAH COGS)",IF(G16&lt;F16,"DI BAWAH HARGA INTERNAL","SESUAI/DI ATAS INTERNAL")))</f>
        <v>DI BAWAH HARGA INTERNAL</v>
      </c>
      <c r="L16" t="str" s="3">
        <f>IF(ISTEXT(H16),"TIDAK ADA DATA",IF(H16&lt;D16,"RUGI (DI BAWAH COGS)",IF(H16&lt;F16,"DI BAWAH HARGA INTERNAL","SESUAI/DI ATAS INTERNAL")))</f>
        <v>DI BAWAH HARGA INTERNAL</v>
      </c>
      <c r="M16" s="3" t="s">
        <v>304</v>
      </c>
    </row>
    <row r="17">
      <c r="A17" s="8">
        <v>16</v>
      </c>
      <c r="B17" s="3" t="s">
        <v>47</v>
      </c>
      <c r="C17" t="str" s="3">
        <f>'Master Inventory'!C17</f>
        <v>Hair Serum Anti Frizz 60ml</v>
      </c>
      <c r="D17" s="2">
        <f>'Master Inventory'!F17</f>
        <v>24000</v>
      </c>
      <c r="E17" s="4">
        <f>'Master Inventory'!G17</f>
        <v>0.58</v>
      </c>
      <c r="F17" s="2">
        <f>'Master Inventory'!H17</f>
        <v>57000</v>
      </c>
      <c r="G17" t="str" s="3">
        <f>IFERROR(ROUND(AVERAGEIF('Sales - TikTok'!$E$2:$E$101,B17,'Sales - TikTok'!$J$2:$J$101),0),"TIDAK ADA DATA")</f>
        <v>TIDAK ADA DATA</v>
      </c>
      <c r="H17" s="2">
        <f>IFERROR(ROUND(AVERAGEIF('Sales - Shopee'!$E$2:$E$101,B17,'Sales - Shopee'!$J$2:$J$101),0),"TIDAK ADA DATA")</f>
        <v>37029</v>
      </c>
      <c r="I17" s="4">
        <f>IFERROR((G17-F17)/F17,0)</f>
        <v>0</v>
      </c>
      <c r="J17" s="4">
        <f>IFERROR((H17-F17)/F17,0)</f>
        <v>-0.350368</v>
      </c>
      <c r="K17" t="str" s="3">
        <f>IF(ISTEXT(G17),"TIDAK ADA DATA",IF(G17&lt;D17,"RUGI (DI BAWAH COGS)",IF(G17&lt;F17,"DI BAWAH HARGA INTERNAL","SESUAI/DI ATAS INTERNAL")))</f>
        <v>TIDAK ADA DATA</v>
      </c>
      <c r="L17" t="str" s="3">
        <f>IF(ISTEXT(H17),"TIDAK ADA DATA",IF(H17&lt;D17,"RUGI (DI BAWAH COGS)",IF(H17&lt;F17,"DI BAWAH HARGA INTERNAL","SESUAI/DI ATAS INTERNAL")))</f>
        <v>DI BAWAH HARGA INTERNAL</v>
      </c>
      <c r="M17" s="3" t="s">
        <v>304</v>
      </c>
    </row>
    <row r="18">
      <c r="A18" s="8">
        <v>17</v>
      </c>
      <c r="B18" s="3" t="s">
        <v>50</v>
      </c>
      <c r="C18" t="str" s="3">
        <f>'Master Inventory'!C18</f>
        <v>Shampoo Anti Hairfall 300ml</v>
      </c>
      <c r="D18" s="2">
        <f>'Master Inventory'!F18</f>
        <v>18000</v>
      </c>
      <c r="E18" s="4">
        <f>'Master Inventory'!G18</f>
        <v>0.58</v>
      </c>
      <c r="F18" s="2">
        <f>'Master Inventory'!H18</f>
        <v>43000</v>
      </c>
      <c r="G18" s="2">
        <f>IFERROR(ROUND(AVERAGEIF('Sales - TikTok'!$E$2:$E$101,B18,'Sales - TikTok'!$J$2:$J$101),0),"TIDAK ADA DATA")</f>
        <v>26650</v>
      </c>
      <c r="H18" t="str" s="3">
        <f>IFERROR(ROUND(AVERAGEIF('Sales - Shopee'!$E$2:$E$101,B18,'Sales - Shopee'!$J$2:$J$101),0),"TIDAK ADA DATA")</f>
        <v>TIDAK ADA DATA</v>
      </c>
      <c r="I18" s="4">
        <f>IFERROR((G18-F18)/F18,0)</f>
        <v>-0.380233</v>
      </c>
      <c r="J18" s="4">
        <f>IFERROR((H18-F18)/F18,0)</f>
        <v>0</v>
      </c>
      <c r="K18" t="str" s="3">
        <f>IF(ISTEXT(G18),"TIDAK ADA DATA",IF(G18&lt;D18,"RUGI (DI BAWAH COGS)",IF(G18&lt;F18,"DI BAWAH HARGA INTERNAL","SESUAI/DI ATAS INTERNAL")))</f>
        <v>DI BAWAH HARGA INTERNAL</v>
      </c>
      <c r="L18" t="str" s="3">
        <f>IF(ISTEXT(H18),"TIDAK ADA DATA",IF(H18&lt;D18,"RUGI (DI BAWAH COGS)",IF(H18&lt;F18,"DI BAWAH HARGA INTERNAL","SESUAI/DI ATAS INTERNAL")))</f>
        <v>TIDAK ADA DATA</v>
      </c>
      <c r="M18" s="3" t="s">
        <v>304</v>
      </c>
    </row>
    <row r="19">
      <c r="A19" s="8">
        <v>18</v>
      </c>
      <c r="B19" s="3" t="s">
        <v>52</v>
      </c>
      <c r="C19" t="str" s="3">
        <f>'Master Inventory'!C19</f>
        <v>Conditioner Repair 300ml</v>
      </c>
      <c r="D19" s="2">
        <f>'Master Inventory'!F19</f>
        <v>18000</v>
      </c>
      <c r="E19" s="4">
        <f>'Master Inventory'!G19</f>
        <v>0.58</v>
      </c>
      <c r="F19" s="2">
        <f>'Master Inventory'!H19</f>
        <v>43000</v>
      </c>
      <c r="G19" s="2">
        <f>IFERROR(ROUND(AVERAGEIF('Sales - TikTok'!$E$2:$E$101,B19,'Sales - TikTok'!$J$2:$J$101),0),"TIDAK ADA DATA")</f>
        <v>35640</v>
      </c>
      <c r="H19" s="2">
        <f>IFERROR(ROUND(AVERAGEIF('Sales - Shopee'!$E$2:$E$101,B19,'Sales - Shopee'!$J$2:$J$101),0),"TIDAK ADA DATA")</f>
        <v>35500</v>
      </c>
      <c r="I19" s="4">
        <f>IFERROR((G19-F19)/F19,0)</f>
        <v>-0.171163</v>
      </c>
      <c r="J19" s="4">
        <f>IFERROR((H19-F19)/F19,0)</f>
        <v>-0.174419</v>
      </c>
      <c r="K19" t="str" s="3">
        <f>IF(ISTEXT(G19),"TIDAK ADA DATA",IF(G19&lt;D19,"RUGI (DI BAWAH COGS)",IF(G19&lt;F19,"DI BAWAH HARGA INTERNAL","SESUAI/DI ATAS INTERNAL")))</f>
        <v>DI BAWAH HARGA INTERNAL</v>
      </c>
      <c r="L19" t="str" s="3">
        <f>IF(ISTEXT(H19),"TIDAK ADA DATA",IF(H19&lt;D19,"RUGI (DI BAWAH COGS)",IF(H19&lt;F19,"DI BAWAH HARGA INTERNAL","SESUAI/DI ATAS INTERNAL")))</f>
        <v>DI BAWAH HARGA INTERNAL</v>
      </c>
      <c r="M19" s="3" t="s">
        <v>304</v>
      </c>
    </row>
    <row r="20">
      <c r="A20" s="8">
        <v>19</v>
      </c>
      <c r="B20" s="3" t="s">
        <v>54</v>
      </c>
      <c r="C20" t="str" s="3">
        <f>'Master Inventory'!C20</f>
        <v>Hair Mist Perfume 100ml</v>
      </c>
      <c r="D20" s="2">
        <f>'Master Inventory'!F20</f>
        <v>20000</v>
      </c>
      <c r="E20" s="4">
        <f>'Master Inventory'!G20</f>
        <v>0.58</v>
      </c>
      <c r="F20" s="2">
        <f>'Master Inventory'!H20</f>
        <v>48000</v>
      </c>
      <c r="G20" s="2">
        <f>IFERROR(ROUND(AVERAGEIF('Sales - TikTok'!$E$2:$E$101,B20,'Sales - TikTok'!$J$2:$J$101),0),"TIDAK ADA DATA")</f>
        <v>42900</v>
      </c>
      <c r="H20" s="2">
        <f>IFERROR(ROUND(AVERAGEIF('Sales - Shopee'!$E$2:$E$101,B20,'Sales - Shopee'!$J$2:$J$101),0),"TIDAK ADA DATA")</f>
        <v>45100</v>
      </c>
      <c r="I20" s="4">
        <f>IFERROR((G20-F20)/F20,0)</f>
        <v>-0.10625</v>
      </c>
      <c r="J20" s="4">
        <f>IFERROR((H20-F20)/F20,0)</f>
        <v>-0.060417</v>
      </c>
      <c r="K20" t="str" s="3">
        <f>IF(ISTEXT(G20),"TIDAK ADA DATA",IF(G20&lt;D20,"RUGI (DI BAWAH COGS)",IF(G20&lt;F20,"DI BAWAH HARGA INTERNAL","SESUAI/DI ATAS INTERNAL")))</f>
        <v>DI BAWAH HARGA INTERNAL</v>
      </c>
      <c r="L20" t="str" s="3">
        <f>IF(ISTEXT(H20),"TIDAK ADA DATA",IF(H20&lt;D20,"RUGI (DI BAWAH COGS)",IF(H20&lt;F20,"DI BAWAH HARGA INTERNAL","SESUAI/DI ATAS INTERNAL")))</f>
        <v>DI BAWAH HARGA INTERNAL</v>
      </c>
      <c r="M20" s="3" t="s">
        <v>304</v>
      </c>
    </row>
    <row r="21">
      <c r="A21" s="8">
        <v>20</v>
      </c>
      <c r="B21" s="3" t="s">
        <v>56</v>
      </c>
      <c r="C21" t="str" s="3">
        <f>'Master Inventory'!C21</f>
        <v>Hair Vitamin Ampoule (Box 6pcs)</v>
      </c>
      <c r="D21" s="2">
        <f>'Master Inventory'!F21</f>
        <v>26000</v>
      </c>
      <c r="E21" s="4">
        <f>'Master Inventory'!G21</f>
        <v>0.58</v>
      </c>
      <c r="F21" s="2">
        <f>'Master Inventory'!H21</f>
        <v>62000</v>
      </c>
      <c r="G21" s="2">
        <f>IFERROR(ROUND(AVERAGEIF('Sales - TikTok'!$E$2:$E$101,B21,'Sales - TikTok'!$J$2:$J$101),0),"TIDAK ADA DATA")</f>
        <v>55200</v>
      </c>
      <c r="H21" s="2">
        <f>IFERROR(ROUND(AVERAGEIF('Sales - Shopee'!$E$2:$E$101,B21,'Sales - Shopee'!$J$2:$J$101),0),"TIDAK ADA DATA")</f>
        <v>26350</v>
      </c>
      <c r="I21" s="4">
        <f>IFERROR((G21-F21)/F21,0)</f>
        <v>-0.109677</v>
      </c>
      <c r="J21" s="4">
        <f>IFERROR((H21-F21)/F21,0)</f>
        <v>-0.575</v>
      </c>
      <c r="K21" t="str" s="3">
        <f>IF(ISTEXT(G21),"TIDAK ADA DATA",IF(G21&lt;D21,"RUGI (DI BAWAH COGS)",IF(G21&lt;F21,"DI BAWAH HARGA INTERNAL","SESUAI/DI ATAS INTERNAL")))</f>
        <v>DI BAWAH HARGA INTERNAL</v>
      </c>
      <c r="L21" t="str" s="3">
        <f>IF(ISTEXT(H21),"TIDAK ADA DATA",IF(H21&lt;D21,"RUGI (DI BAWAH COGS)",IF(H21&lt;F21,"DI BAWAH HARGA INTERNAL","SESUAI/DI ATAS INTERNAL")))</f>
        <v>DI BAWAH HARGA INTERNAL</v>
      </c>
      <c r="M21" s="3" t="s">
        <v>304</v>
      </c>
    </row>
    <row r="22">
      <c r="A22" s="8">
        <v>21</v>
      </c>
      <c r="B22" s="3" t="s">
        <v>58</v>
      </c>
      <c r="C22" t="str" s="3">
        <f>'Master Inventory'!C22</f>
        <v>Body Lotion Brightening 200ml</v>
      </c>
      <c r="D22" s="2">
        <f>'Master Inventory'!F22</f>
        <v>16000</v>
      </c>
      <c r="E22" s="4">
        <f>'Master Inventory'!G22</f>
        <v>0.55</v>
      </c>
      <c r="F22" s="2">
        <f>'Master Inventory'!H22</f>
        <v>36000</v>
      </c>
      <c r="G22" s="2">
        <f>IFERROR(ROUND(AVERAGEIF('Sales - TikTok'!$E$2:$E$101,B22,'Sales - TikTok'!$J$2:$J$101),0),"TIDAK ADA DATA")</f>
        <v>23900</v>
      </c>
      <c r="H22" s="2">
        <f>IFERROR(ROUND(AVERAGEIF('Sales - Shopee'!$E$2:$E$101,B22,'Sales - Shopee'!$J$2:$J$101),0),"TIDAK ADA DATA")</f>
        <v>36517</v>
      </c>
      <c r="I22" s="4">
        <f>IFERROR((G22-F22)/F22,0)</f>
        <v>-0.336111</v>
      </c>
      <c r="J22" s="4">
        <f>IFERROR((H22-F22)/F22,0)</f>
        <v>0.014361</v>
      </c>
      <c r="K22" t="str" s="3">
        <f>IF(ISTEXT(G22),"TIDAK ADA DATA",IF(G22&lt;D22,"RUGI (DI BAWAH COGS)",IF(G22&lt;F22,"DI BAWAH HARGA INTERNAL","SESUAI/DI ATAS INTERNAL")))</f>
        <v>DI BAWAH HARGA INTERNAL</v>
      </c>
      <c r="L22" t="str" s="3">
        <f>IF(ISTEXT(H22),"TIDAK ADA DATA",IF(H22&lt;D22,"RUGI (DI BAWAH COGS)",IF(H22&lt;F22,"DI BAWAH HARGA INTERNAL","SESUAI/DI ATAS INTERNAL")))</f>
        <v>SESUAI/DI ATAS INTERNAL</v>
      </c>
      <c r="M22" s="3" t="s">
        <v>304</v>
      </c>
    </row>
    <row r="23">
      <c r="A23" s="8">
        <v>22</v>
      </c>
      <c r="B23" s="3" t="s">
        <v>61</v>
      </c>
      <c r="C23" t="str" s="3">
        <f>'Master Inventory'!C23</f>
        <v>Body Scrub Coffee 200g</v>
      </c>
      <c r="D23" s="2">
        <f>'Master Inventory'!F23</f>
        <v>17000</v>
      </c>
      <c r="E23" s="4">
        <f>'Master Inventory'!G23</f>
        <v>0.55</v>
      </c>
      <c r="F23" s="2">
        <f>'Master Inventory'!H23</f>
        <v>38000</v>
      </c>
      <c r="G23" s="2">
        <f>IFERROR(ROUND(AVERAGEIF('Sales - TikTok'!$E$2:$E$101,B23,'Sales - TikTok'!$J$2:$J$101),0),"TIDAK ADA DATA")</f>
        <v>24400</v>
      </c>
      <c r="H23" s="2">
        <f>IFERROR(ROUND(AVERAGEIF('Sales - Shopee'!$E$2:$E$101,B23,'Sales - Shopee'!$J$2:$J$101),0),"TIDAK ADA DATA")</f>
        <v>44200</v>
      </c>
      <c r="I23" s="4">
        <f>IFERROR((G23-F23)/F23,0)</f>
        <v>-0.357895</v>
      </c>
      <c r="J23" s="4">
        <f>IFERROR((H23-F23)/F23,0)</f>
        <v>0.163158</v>
      </c>
      <c r="K23" t="str" s="3">
        <f>IF(ISTEXT(G23),"TIDAK ADA DATA",IF(G23&lt;D23,"RUGI (DI BAWAH COGS)",IF(G23&lt;F23,"DI BAWAH HARGA INTERNAL","SESUAI/DI ATAS INTERNAL")))</f>
        <v>DI BAWAH HARGA INTERNAL</v>
      </c>
      <c r="L23" t="str" s="3">
        <f>IF(ISTEXT(H23),"TIDAK ADA DATA",IF(H23&lt;D23,"RUGI (DI BAWAH COGS)",IF(H23&lt;F23,"DI BAWAH HARGA INTERNAL","SESUAI/DI ATAS INTERNAL")))</f>
        <v>SESUAI/DI ATAS INTERNAL</v>
      </c>
      <c r="M23" s="3" t="s">
        <v>304</v>
      </c>
    </row>
    <row r="24">
      <c r="A24" s="8">
        <v>23</v>
      </c>
      <c r="B24" s="3" t="s">
        <v>63</v>
      </c>
      <c r="C24" t="str" s="3">
        <f>'Master Inventory'!C24</f>
        <v>Body Mist Fresh Bloom 100ml</v>
      </c>
      <c r="D24" s="2">
        <f>'Master Inventory'!F24</f>
        <v>19000</v>
      </c>
      <c r="E24" s="4">
        <f>'Master Inventory'!G24</f>
        <v>0.55</v>
      </c>
      <c r="F24" s="2">
        <f>'Master Inventory'!H24</f>
        <v>42000</v>
      </c>
      <c r="G24" s="2">
        <f>IFERROR(ROUND(AVERAGEIF('Sales - TikTok'!$E$2:$E$101,B24,'Sales - TikTok'!$J$2:$J$101),0),"TIDAK ADA DATA")</f>
        <v>26075</v>
      </c>
      <c r="H24" s="2">
        <f>IFERROR(ROUND(AVERAGEIF('Sales - Shopee'!$E$2:$E$101,B24,'Sales - Shopee'!$J$2:$J$101),0),"TIDAK ADA DATA")</f>
        <v>30167</v>
      </c>
      <c r="I24" s="4">
        <f>IFERROR((G24-F24)/F24,0)</f>
        <v>-0.379167</v>
      </c>
      <c r="J24" s="4">
        <f>IFERROR((H24-F24)/F24,0)</f>
        <v>-0.281738</v>
      </c>
      <c r="K24" t="str" s="3">
        <f>IF(ISTEXT(G24),"TIDAK ADA DATA",IF(G24&lt;D24,"RUGI (DI BAWAH COGS)",IF(G24&lt;F24,"DI BAWAH HARGA INTERNAL","SESUAI/DI ATAS INTERNAL")))</f>
        <v>DI BAWAH HARGA INTERNAL</v>
      </c>
      <c r="L24" t="str" s="3">
        <f>IF(ISTEXT(H24),"TIDAK ADA DATA",IF(H24&lt;D24,"RUGI (DI BAWAH COGS)",IF(H24&lt;F24,"DI BAWAH HARGA INTERNAL","SESUAI/DI ATAS INTERNAL")))</f>
        <v>DI BAWAH HARGA INTERNAL</v>
      </c>
      <c r="M24" s="3" t="s">
        <v>304</v>
      </c>
    </row>
    <row r="25">
      <c r="A25" s="8">
        <v>24</v>
      </c>
      <c r="B25" s="3" t="s">
        <v>65</v>
      </c>
      <c r="C25" t="str" s="3">
        <f>'Master Inventory'!C25</f>
        <v>Eau de Toilette 30ml</v>
      </c>
      <c r="D25" s="2">
        <f>'Master Inventory'!F25</f>
        <v>55000</v>
      </c>
      <c r="E25" s="4">
        <f>'Master Inventory'!G25</f>
        <v>0.65</v>
      </c>
      <c r="F25" s="2">
        <f>'Master Inventory'!H25</f>
        <v>157000</v>
      </c>
      <c r="G25" s="2">
        <f>IFERROR(ROUND(AVERAGEIF('Sales - TikTok'!$E$2:$E$101,B25,'Sales - TikTok'!$J$2:$J$101),0),"TIDAK ADA DATA")</f>
        <v>123200</v>
      </c>
      <c r="H25" s="2">
        <f>IFERROR(ROUND(AVERAGEIF('Sales - Shopee'!$E$2:$E$101,B25,'Sales - Shopee'!$J$2:$J$101),0),"TIDAK ADA DATA")</f>
        <v>102350</v>
      </c>
      <c r="I25" s="4">
        <f>IFERROR((G25-F25)/F25,0)</f>
        <v>-0.215287</v>
      </c>
      <c r="J25" s="4">
        <f>IFERROR((H25-F25)/F25,0)</f>
        <v>-0.348089</v>
      </c>
      <c r="K25" t="str" s="3">
        <f>IF(ISTEXT(G25),"TIDAK ADA DATA",IF(G25&lt;D25,"RUGI (DI BAWAH COGS)",IF(G25&lt;F25,"DI BAWAH HARGA INTERNAL","SESUAI/DI ATAS INTERNAL")))</f>
        <v>DI BAWAH HARGA INTERNAL</v>
      </c>
      <c r="L25" t="str" s="3">
        <f>IF(ISTEXT(H25),"TIDAK ADA DATA",IF(H25&lt;D25,"RUGI (DI BAWAH COGS)",IF(H25&lt;F25,"DI BAWAH HARGA INTERNAL","SESUAI/DI ATAS INTERNAL")))</f>
        <v>DI BAWAH HARGA INTERNAL</v>
      </c>
      <c r="M25" s="3" t="s">
        <v>304</v>
      </c>
    </row>
    <row r="26">
      <c r="A26" s="8">
        <v>25</v>
      </c>
      <c r="B26" s="3" t="s">
        <v>68</v>
      </c>
      <c r="C26" t="str" s="3">
        <f>'Master Inventory'!C26</f>
        <v>Eau de Parfum 50ml</v>
      </c>
      <c r="D26" s="2">
        <f>'Master Inventory'!F26</f>
        <v>85000</v>
      </c>
      <c r="E26" s="4">
        <f>'Master Inventory'!G26</f>
        <v>0.65</v>
      </c>
      <c r="F26" s="2">
        <f>'Master Inventory'!H26</f>
        <v>243000</v>
      </c>
      <c r="G26" s="2">
        <f>IFERROR(ROUND(AVERAGEIF('Sales - TikTok'!$E$2:$E$101,B26,'Sales - TikTok'!$J$2:$J$101),0),"TIDAK ADA DATA")</f>
        <v>160700</v>
      </c>
      <c r="H26" s="2">
        <f>IFERROR(ROUND(AVERAGEIF('Sales - Shopee'!$E$2:$E$101,B26,'Sales - Shopee'!$J$2:$J$101),0),"TIDAK ADA DATA")</f>
        <v>168767</v>
      </c>
      <c r="I26" s="4">
        <f>IFERROR((G26-F26)/F26,0)</f>
        <v>-0.338683</v>
      </c>
      <c r="J26" s="4">
        <f>IFERROR((H26-F26)/F26,0)</f>
        <v>-0.305486</v>
      </c>
      <c r="K26" t="str" s="3">
        <f>IF(ISTEXT(G26),"TIDAK ADA DATA",IF(G26&lt;D26,"RUGI (DI BAWAH COGS)",IF(G26&lt;F26,"DI BAWAH HARGA INTERNAL","SESUAI/DI ATAS INTERNAL")))</f>
        <v>DI BAWAH HARGA INTERNAL</v>
      </c>
      <c r="L26" t="str" s="3">
        <f>IF(ISTEXT(H26),"TIDAK ADA DATA",IF(H26&lt;D26,"RUGI (DI BAWAH COGS)",IF(H26&lt;F26,"DI BAWAH HARGA INTERNAL","SESUAI/DI ATAS INTERNAL")))</f>
        <v>DI BAWAH HARGA INTERNAL</v>
      </c>
      <c r="M26" s="3" t="s">
        <v>304</v>
      </c>
    </row>
  </sheetData>
  <conditionalFormatting sqref="K2:L26">
    <cfRule type="containsText" dxfId="1" priority="1" operator="containsText" text="RUGI (DI BAWAH COGS)">
      <formula>NOT(ISERROR(SEARCH("RUGI (DI BAWAH COGS)",K2)))</formula>
    </cfRule>
    <cfRule type="containsText" dxfId="2" priority="2" operator="containsText" text="DI BAWAH HARGA INTERNAL">
      <formula>NOT(ISERROR(SEARCH("DI BAWAH HARGA INTERNAL",K2)))</formula>
    </cfRule>
  </conditionalFormatting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Kiro Generator</Application>
  <TitlesOfParts>
    <vt:vector size="5" baseType="lpstr">
      <vt:lpstr>Master Inventory</vt:lpstr>
      <vt:lpstr>Sales - TikTok</vt:lpstr>
      <vt:lpstr>Sales - Shopee</vt:lpstr>
      <vt:lpstr>Stock Check</vt:lpstr>
      <vt:lpstr>Price List (Internal vs Ecommerce)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Beauty Sales Inventory Dummy Data</dc:title>
  <dc:creator>Kiro</dc:creator>
  <cp:lastModifiedBy>Kiro</cp:lastModifiedBy>
  <dcterms:created xsi:type="dcterms:W3CDTF">2026-09-30T00:00:00Z</dcterms:created>
  <dcterms:modified xsi:type="dcterms:W3CDTF">2026-09-30T00:00:00Z</dcterms:modified>
</cp:coreProperties>
</file>